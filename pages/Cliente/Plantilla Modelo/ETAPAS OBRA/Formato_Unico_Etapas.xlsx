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rmato unico" state="visible" r:id="rId4"/>
    <sheet sheetId="2" name="Presupuesto MP" state="visible" r:id="rId5"/>
    <sheet sheetId="3" name="Resumen" state="visible" r:id="rId6"/>
  </sheets>
  <calcPr calcId="171027"/>
</workbook>
</file>

<file path=xl/sharedStrings.xml><?xml version="1.0" encoding="utf-8"?>
<sst xmlns="http://schemas.openxmlformats.org/spreadsheetml/2006/main" count="513" uniqueCount="231">
  <si>
    <t>Formato único de etapas de obra — ConstruMaster</t>
  </si>
  <si>
    <t>Secuencia de etapas y subetapas (Obra negra / gris / blanca) con su capítulo del presupuesto, actividades del análisis de precios unitarios y seguimiento. ESTADO: Pendiente, En curso o Terminada; AVANCE en %.</t>
  </si>
  <si>
    <t>SECUENCIA</t>
  </si>
  <si>
    <t>TIPO DE OBRA</t>
  </si>
  <si>
    <t>ETAPA</t>
  </si>
  <si>
    <t>SUBETAPA</t>
  </si>
  <si>
    <t>CARPETA</t>
  </si>
  <si>
    <t>CAPITULO DEL PRESUPUESTO (MP)</t>
  </si>
  <si>
    <t>ACTIVIDADES APU</t>
  </si>
  <si>
    <t>ESTADO</t>
  </si>
  <si>
    <t>AVANCE %</t>
  </si>
  <si>
    <t>FECHA INICIO</t>
  </si>
  <si>
    <t>FECHA FIN</t>
  </si>
  <si>
    <t>RESPONSABLE</t>
  </si>
  <si>
    <t>NOTAS / OBSERVACIONES</t>
  </si>
  <si>
    <t>01.01</t>
  </si>
  <si>
    <t>OBRA NEGRA</t>
  </si>
  <si>
    <t>1. Preliminares</t>
  </si>
  <si>
    <t>Limpieza</t>
  </si>
  <si>
    <t>01_PRELIMINARES/01_Limpieza</t>
  </si>
  <si>
    <t>1. Preliminares ($ 9.500.000)</t>
  </si>
  <si>
    <t/>
  </si>
  <si>
    <t>01.02</t>
  </si>
  <si>
    <t>Descapote</t>
  </si>
  <si>
    <t>01_PRELIMINARES/02_Descapote</t>
  </si>
  <si>
    <t>01.03</t>
  </si>
  <si>
    <t>Nivelación</t>
  </si>
  <si>
    <t>01_PRELIMINARES/03_Nivelacion</t>
  </si>
  <si>
    <t>01.04</t>
  </si>
  <si>
    <t>Recebado y Compactación</t>
  </si>
  <si>
    <t>01_PRELIMINARES/04_Recebado_y_Compactacion</t>
  </si>
  <si>
    <t>01.05</t>
  </si>
  <si>
    <t>Replanteo</t>
  </si>
  <si>
    <t>01_PRELIMINARES/05_Replanteo</t>
  </si>
  <si>
    <t>01.06</t>
  </si>
  <si>
    <t>Cerramiento Provisional</t>
  </si>
  <si>
    <t>01_PRELIMINARES/06_Cerramiento_Provisional</t>
  </si>
  <si>
    <t>01.07</t>
  </si>
  <si>
    <t>Campamento</t>
  </si>
  <si>
    <t>01_PRELIMINARES/07_Campamento</t>
  </si>
  <si>
    <t>01.08</t>
  </si>
  <si>
    <t>Instalaciones Provisionales</t>
  </si>
  <si>
    <t>01_PRELIMINARES/08_Instalaciones_Provisionales</t>
  </si>
  <si>
    <t>02.01</t>
  </si>
  <si>
    <t>2. Excavaciones</t>
  </si>
  <si>
    <t>Excavación Zapatas</t>
  </si>
  <si>
    <t>02_EXCAVACIONES/01_Excavacion_Zapatas</t>
  </si>
  <si>
    <t>2. Estructura en concreto ($ 29.686.300, compartido con 3 etapas)</t>
  </si>
  <si>
    <t>02.02</t>
  </si>
  <si>
    <t>Excavación Vigas Cimentación</t>
  </si>
  <si>
    <t>02_EXCAVACIONES/02_Excavacion_Vigas_Cimentacion</t>
  </si>
  <si>
    <t>02.03</t>
  </si>
  <si>
    <t>Retiro Material</t>
  </si>
  <si>
    <t>02_EXCAVACIONES/03_Retiro_Material</t>
  </si>
  <si>
    <t>03.01</t>
  </si>
  <si>
    <t>3. Cimentación</t>
  </si>
  <si>
    <t>Zapatas</t>
  </si>
  <si>
    <t>03_CIMENTACION/01_Zapatas</t>
  </si>
  <si>
    <t>03.02</t>
  </si>
  <si>
    <t>Vigas Cimentación</t>
  </si>
  <si>
    <t>03_CIMENTACION/02_Vigas_Cimentacion</t>
  </si>
  <si>
    <t>03.03</t>
  </si>
  <si>
    <t>Placa Contrapiso</t>
  </si>
  <si>
    <t>03_CIMENTACION/03_Placa_Contrapiso</t>
  </si>
  <si>
    <t>04.01</t>
  </si>
  <si>
    <t>4. Estructura</t>
  </si>
  <si>
    <t>Flejes Columnas Primer Piso</t>
  </si>
  <si>
    <t>04_ESTRUCTURA/01_Flejes_Columnas_Primer_Piso</t>
  </si>
  <si>
    <t>04.02</t>
  </si>
  <si>
    <t>Flejes Entrepiso 1-2</t>
  </si>
  <si>
    <t>04_ESTRUCTURA/02_Flejes_Entrepiso_1_2</t>
  </si>
  <si>
    <t>04.03</t>
  </si>
  <si>
    <t>Flejes Columnas Entrepiso 2</t>
  </si>
  <si>
    <t>04_ESTRUCTURA/03_Flejes_Columnas_Entrepiso_2</t>
  </si>
  <si>
    <t>04.04</t>
  </si>
  <si>
    <t>Flejes Entrepiso 2-3</t>
  </si>
  <si>
    <t>04_ESTRUCTURA/04_Flejes_Entrepiso_2_3</t>
  </si>
  <si>
    <t>04.05</t>
  </si>
  <si>
    <t>Flejes Columnas Piso 3</t>
  </si>
  <si>
    <t>04_ESTRUCTURA/05_Flejes_Columnas_Piso_3</t>
  </si>
  <si>
    <t>04.06</t>
  </si>
  <si>
    <t>Flejes Vigas Cubierta</t>
  </si>
  <si>
    <t>04_ESTRUCTURA/06_Flejes_Vigas_Cubierta</t>
  </si>
  <si>
    <t>04.07</t>
  </si>
  <si>
    <t>Flejes Cubierta</t>
  </si>
  <si>
    <t>04_ESTRUCTURA/07_Flejes_Cubierta</t>
  </si>
  <si>
    <t>05.01</t>
  </si>
  <si>
    <t>OBRA GRIS</t>
  </si>
  <si>
    <t>5. Mampostería</t>
  </si>
  <si>
    <t>Muros Exteriores</t>
  </si>
  <si>
    <t>05_MAMPOSTERIA/01_Muros_Exteriores</t>
  </si>
  <si>
    <t>4. Mampostería ($ 6.731.172)</t>
  </si>
  <si>
    <t>05.02</t>
  </si>
  <si>
    <t>Muros Interiores</t>
  </si>
  <si>
    <t>05_MAMPOSTERIA/02_Muros_Interiores</t>
  </si>
  <si>
    <t>05.03</t>
  </si>
  <si>
    <t>Dinteles y Antepechos</t>
  </si>
  <si>
    <t>05_MAMPOSTERIA/03_Dinteles_y_Antepechos</t>
  </si>
  <si>
    <t>06.01</t>
  </si>
  <si>
    <t>6. Instalaciones</t>
  </si>
  <si>
    <t>Hidráulicas</t>
  </si>
  <si>
    <t>06_INSTALACIONES/01_Hidraulicas</t>
  </si>
  <si>
    <t>6. Inst. Hidro-Sanitarias ($ 11.277.000)</t>
  </si>
  <si>
    <t>06.02</t>
  </si>
  <si>
    <t>Sanitarias</t>
  </si>
  <si>
    <t>06_INSTALACIONES/02_Sanitarias</t>
  </si>
  <si>
    <t>06.03</t>
  </si>
  <si>
    <t>Eléctricas</t>
  </si>
  <si>
    <t>06_INSTALACIONES/03_Electricas</t>
  </si>
  <si>
    <t>5. Inst. Eléctri-cas ($ 900.000)</t>
  </si>
  <si>
    <t>06.04</t>
  </si>
  <si>
    <t>Especiales</t>
  </si>
  <si>
    <t>06_INSTALACIONES/04_Especiales</t>
  </si>
  <si>
    <t>07.01</t>
  </si>
  <si>
    <t>7. Cubierta</t>
  </si>
  <si>
    <t>Estructura</t>
  </si>
  <si>
    <t>07_CUBIERTA/01_Estructura</t>
  </si>
  <si>
    <t>3. Cubierta ($ 6.559.000)</t>
  </si>
  <si>
    <t>07.02</t>
  </si>
  <si>
    <t>Impermeabilización</t>
  </si>
  <si>
    <t>07_CUBIERTA/02_Impermeabilizacion</t>
  </si>
  <si>
    <t>07.03</t>
  </si>
  <si>
    <t>Acabado</t>
  </si>
  <si>
    <t>07_CUBIERTA/03_Acabado</t>
  </si>
  <si>
    <t>08.01</t>
  </si>
  <si>
    <t>OBRA BLANCA</t>
  </si>
  <si>
    <t>8. Acabados</t>
  </si>
  <si>
    <t>Pañetes</t>
  </si>
  <si>
    <t>08_ACABADOS/01_Panetes</t>
  </si>
  <si>
    <t>7. Pañete ($ 4.859.905)</t>
  </si>
  <si>
    <t>08.02</t>
  </si>
  <si>
    <t>Pisos</t>
  </si>
  <si>
    <t>08_ACABADOS/02_Pisos</t>
  </si>
  <si>
    <t>08.03</t>
  </si>
  <si>
    <t>Enchapes</t>
  </si>
  <si>
    <t>08_ACABADOS/03_Enchapes</t>
  </si>
  <si>
    <t>8. Enchapes</t>
  </si>
  <si>
    <t>08.04</t>
  </si>
  <si>
    <t>Pintura</t>
  </si>
  <si>
    <t>08_ACABADOS/04_Pintura</t>
  </si>
  <si>
    <t>11. Pintura ($ 4.933.498)</t>
  </si>
  <si>
    <t>08.05</t>
  </si>
  <si>
    <t>Carpintería y Herrería</t>
  </si>
  <si>
    <t>08_ACABADOS/05_Carpinteria_y_Herreria</t>
  </si>
  <si>
    <t>10. Carpinteria Metálica ($ 16.335.725)</t>
  </si>
  <si>
    <t>08.06</t>
  </si>
  <si>
    <t>Estuco</t>
  </si>
  <si>
    <t>08_ACABADOS/06_Estuco</t>
  </si>
  <si>
    <t>9. Estuco ($ 1.706.510)</t>
  </si>
  <si>
    <t>08.07</t>
  </si>
  <si>
    <t>Aparatos Hidrosanitarios</t>
  </si>
  <si>
    <t>08_ACABADOS/07_Aparatos_Hidrosanitarios</t>
  </si>
  <si>
    <t>12. Aparatos Hidrosanitarios ($ 3.050.000)</t>
  </si>
  <si>
    <t>08.08</t>
  </si>
  <si>
    <t>Mueble Cocina</t>
  </si>
  <si>
    <t>08_ACABADOS/08_Mueble_Cocina</t>
  </si>
  <si>
    <t>13. Mueble Cocina ($ 6.000.000)</t>
  </si>
  <si>
    <t>08.09</t>
  </si>
  <si>
    <t>Armarios</t>
  </si>
  <si>
    <t>08_ACABADOS/09_Armarios</t>
  </si>
  <si>
    <t>14. Armarios ($ 7.928.100)</t>
  </si>
  <si>
    <t>09.01</t>
  </si>
  <si>
    <t>9. Exteriores</t>
  </si>
  <si>
    <t>Fachadas</t>
  </si>
  <si>
    <t>09_EXTERIORES/01_Fachadas</t>
  </si>
  <si>
    <t>09.02</t>
  </si>
  <si>
    <t>Andenes</t>
  </si>
  <si>
    <t>09_EXTERIORES/02_Andenes</t>
  </si>
  <si>
    <t>09.03</t>
  </si>
  <si>
    <t>Zonas Exteriores</t>
  </si>
  <si>
    <t>09_EXTERIORES/03_Zonas_Exteriores</t>
  </si>
  <si>
    <t>16. Exterior ($ 3.536.700)</t>
  </si>
  <si>
    <t>09.04</t>
  </si>
  <si>
    <t>Cerramiento Definitivo</t>
  </si>
  <si>
    <t>09_EXTERIORES/04_Cerramiento_Definitivo</t>
  </si>
  <si>
    <t>17. Cerramiento ($ 13.550.000)</t>
  </si>
  <si>
    <t>10.01</t>
  </si>
  <si>
    <t>10. Entrega</t>
  </si>
  <si>
    <t>Limpieza Final</t>
  </si>
  <si>
    <t>10_ENTREGA/01_Limpieza_Final</t>
  </si>
  <si>
    <t>10.02</t>
  </si>
  <si>
    <t>Revisión</t>
  </si>
  <si>
    <t>10_ENTREGA/02_Revision</t>
  </si>
  <si>
    <t>10.03</t>
  </si>
  <si>
    <t>Registro Final</t>
  </si>
  <si>
    <t>10_ENTREGA/03_Registro_Final</t>
  </si>
  <si>
    <t>Presupuesto — modelo proyectado (MP) por tipo de obra</t>
  </si>
  <si>
    <t>Modelo Estándar · Boulevard de los Sueños · archivo Anexo 2-3 BOULEVARD - Presupuesto y programación VF.xlsx</t>
  </si>
  <si>
    <t>N°</t>
  </si>
  <si>
    <t>CAPITULO</t>
  </si>
  <si>
    <t>ETAPAS DE OBRA</t>
  </si>
  <si>
    <t>VALOR</t>
  </si>
  <si>
    <t>% DEL TOTAL</t>
  </si>
  <si>
    <t>Preliminares</t>
  </si>
  <si>
    <t>01_PRELIMINARES</t>
  </si>
  <si>
    <t>Estructura en concreto</t>
  </si>
  <si>
    <t>02_EXCAVACIONES + 03_CIMENTACION + 04_ESTRUCTURA</t>
  </si>
  <si>
    <t>Cubierta</t>
  </si>
  <si>
    <t>07_CUBIERTA</t>
  </si>
  <si>
    <t>Mampostería</t>
  </si>
  <si>
    <t>05_MAMPOSTERIA</t>
  </si>
  <si>
    <t>Inst. Eléctri-cas</t>
  </si>
  <si>
    <t>06_INSTALACIONES / Eléctricas</t>
  </si>
  <si>
    <t>Inst. Hidro-Sanitarias</t>
  </si>
  <si>
    <t>06_INSTALACIONES / Hidráulicas y Sanitarias</t>
  </si>
  <si>
    <t>Pañete</t>
  </si>
  <si>
    <t>08_ACABADOS / Pañetes</t>
  </si>
  <si>
    <t>08_ACABADOS / Enchapes</t>
  </si>
  <si>
    <t>08_ACABADOS / Estuco</t>
  </si>
  <si>
    <t>Carpinteria Metálica</t>
  </si>
  <si>
    <t>08_ACABADOS / Carpintería y Herrería</t>
  </si>
  <si>
    <t>08_ACABADOS / Pintura</t>
  </si>
  <si>
    <t>08_ACABADOS / Aparatos Hidrosanitarios</t>
  </si>
  <si>
    <t>08_ACABADOS / Mueble Cocina</t>
  </si>
  <si>
    <t>08_ACABADOS / Armarios</t>
  </si>
  <si>
    <t>Mano de Obra</t>
  </si>
  <si>
    <t>(transversal)</t>
  </si>
  <si>
    <t>Exterior</t>
  </si>
  <si>
    <t>09_EXTERIORES / Zonas Exteriores</t>
  </si>
  <si>
    <t>Cerramiento</t>
  </si>
  <si>
    <t>09_EXTERIORES / Cerramiento Definitivo</t>
  </si>
  <si>
    <t>Total</t>
  </si>
  <si>
    <t>Resumen por tipo de obra</t>
  </si>
  <si>
    <t>Etapas, subetapas y valor del presupuesto MP agrupados en obra negra, gris y blanca.</t>
  </si>
  <si>
    <t>ETAPAS</t>
  </si>
  <si>
    <t>SUBETAPAS</t>
  </si>
  <si>
    <t>CAPITULOS MP</t>
  </si>
  <si>
    <t>VALOR MP</t>
  </si>
  <si>
    <t>1. Preliminares, 2. Excavaciones, 3. Cimentación, 4. Estructura, 7. Cubierta</t>
  </si>
  <si>
    <t>5. Mampostería, 6. Instalaciones</t>
  </si>
  <si>
    <t>8. Acabados, 9. Exteriores, 10. 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</si>
</sst>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$&quot; #,##0"/>
    <numFmt numFmtId="166" formatCode="0.0%"/>
  </numFmts>
  <fonts count="5" x14ac:knownFonts="1">
    <font>
      <color theme="1"/>
      <family val="2"/>
      <scheme val="minor"/>
      <sz val="11"/>
      <name val="Calibri"/>
    </font>
    <font>
      <b/>
      <color rgb="FF354B3E"/>
      <sz val="14"/>
    </font>
    <font>
      <i/>
      <color rgb="FF65675F"/>
      <sz val="9"/>
    </font>
    <font>
      <b/>
      <color rgb="FFFFFFFF"/>
    </font>
    <font>
      <b/>
      <color rgb="FF20211E"/>
    </font>
  </fonts>
  <fills count="5">
    <fill>
      <patternFill patternType="none"/>
    </fill>
    <fill>
      <patternFill patternType="gray125"/>
    </fill>
    <fill>
      <patternFill patternType="solid">
        <fgColor rgb="FF2B2D34"/>
      </patternFill>
    </fill>
    <fill>
      <patternFill patternType="solid">
        <fgColor rgb="FF6B7280"/>
      </patternFill>
    </fill>
    <fill>
      <patternFill patternType="solid">
        <fgColor rgb="FFC9A2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0" borderId="0" xfId="0" applyAlignment="1">
      <alignment vertical="top" wrapText="1"/>
    </xf>
    <xf numFmtId="164" fontId="0" fillId="0" borderId="0" xfId="0" applyNumberFormat="1"/>
    <xf numFmtId="0" fontId="3" fillId="3" borderId="0" xfId="0" applyFont="1" applyFill="1"/>
    <xf numFmtId="0" fontId="4" fillId="4" borderId="0" xfId="0" applyFont="1" applyFill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_Formato_Etapas" displayName="T_Formato_Etapas" ref="A3:M50" totalsRowShown="1" headerRowCount="1">
  <autoFilter ref="A3:M5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SECUENCIA" totalsRowLabel="Total"/>
    <tableColumn id="2" name="TIPO DE OBRA" totalsRowFunction="none"/>
    <tableColumn id="3" name="ETAPA" totalsRowFunction="none"/>
    <tableColumn id="4" name="SUBETAPA" totalsRowFunction="none"/>
    <tableColumn id="5" name="CARPETA" totalsRowFunction="none"/>
    <tableColumn id="6" name="CAPITULO DEL PRESUPUESTO (MP)" totalsRowFunction="none"/>
    <tableColumn id="7" name="ACTIVIDADES APU" totalsRowFunction="none"/>
    <tableColumn id="8" name="ESTADO" totalsRowFunction="none"/>
    <tableColumn id="9" name="AVANCE %" totalsRowFunction="none"/>
    <tableColumn id="10" name="FECHA INICIO" totalsRowFunction="none"/>
    <tableColumn id="11" name="FECHA FIN" totalsRowFunction="none"/>
    <tableColumn id="12" name="RESPONSABLE" totalsRowFunction="none"/>
    <tableColumn id="13" name="NOTAS / OBSERVACIONES" totalsRowFunction="none"/>
  </tableColumns>
  <tableStyleInfo name="TableStyleLight15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_Presupuesto_MP" displayName="T_Presupuesto_MP" ref="A3:F21" totalsRowCount="1" headerRowCount="1">
  <autoFilter ref="A3:F2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N°" totalsRowLabel="Total"/>
    <tableColumn id="2" name="CAPITULO" totalsRowFunction="none"/>
    <tableColumn id="3" name="TIPO DE OBRA" totalsRowFunction="none"/>
    <tableColumn id="4" name="ETAPAS DE OBRA" totalsRowFunction="none"/>
    <tableColumn id="5" name="VALOR" totalsRowFunction="sum"/>
    <tableColumn id="6" name="% DEL TOTAL" totalsRowFunction="sum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_Resumen_Tipo_Obra" displayName="T_Resumen_Tipo_Obra" ref="A3:F7" totalsRowCount="1" headerRowCount="1">
  <autoFilter ref="A3:F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TIPO DE OBRA" totalsRowLabel="Total"/>
    <tableColumn id="2" name="ETAPAS" totalsRowFunction="none"/>
    <tableColumn id="3" name="SUBETAPAS" totalsRowFunction="sum"/>
    <tableColumn id="4" name="CAPITULOS MP" totalsRowFunction="sum"/>
    <tableColumn id="5" name="VALOR MP" totalsRowFunction="sum"/>
    <tableColumn id="6" name="% DEL TOTAL" totalsRowFunction="sum"/>
  </tableColumns>
  <tableStyleInfo name="TableStyleLight15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"/>
  <sheetViews>
    <sheetView workbookViewId="0">
      <pane xSplit="4" ySplit="3" topLeftCell="E4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14" customWidth="1"/>
    <col min="3" max="3" width="20" customWidth="1"/>
    <col min="4" max="4" width="30" customWidth="1"/>
    <col min="5" max="5" width="40" customWidth="1"/>
    <col min="6" max="6" width="46" customWidth="1"/>
    <col min="7" max="7" width="11" customWidth="1"/>
    <col min="8" max="8" width="12" customWidth="1"/>
    <col min="9" max="9" width="10" customWidth="1"/>
    <col min="10" max="11" width="13" customWidth="1"/>
    <col min="12" max="12" width="18" customWidth="1"/>
    <col min="13" max="13" width="5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3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 x14ac:dyDescent="0.25">
      <c r="A4" t="s">
        <v>15</v>
      </c>
      <c r="B4" s="3" t="s">
        <v>16</v>
      </c>
      <c r="C4" t="s">
        <v>17</v>
      </c>
      <c r="D4" t="s">
        <v>18</v>
      </c>
      <c r="E4" t="s">
        <v>19</v>
      </c>
      <c r="F4" s="4" t="s">
        <v>20</v>
      </c>
      <c r="G4">
        <v>68</v>
      </c>
      <c r="H4" t="s">
        <v>21</v>
      </c>
      <c r="J4" s="5"/>
      <c r="K4" s="5"/>
      <c r="L4" t="s">
        <v>21</v>
      </c>
      <c r="M4" s="4" t="s">
        <v>21</v>
      </c>
    </row>
    <row r="5" spans="1:13" x14ac:dyDescent="0.25">
      <c r="A5" t="s">
        <v>22</v>
      </c>
      <c r="B5" s="3" t="s">
        <v>16</v>
      </c>
      <c r="C5" t="s">
        <v>17</v>
      </c>
      <c r="D5" t="s">
        <v>23</v>
      </c>
      <c r="E5" t="s">
        <v>24</v>
      </c>
      <c r="F5" s="4" t="s">
        <v>20</v>
      </c>
      <c r="G5">
        <v>1</v>
      </c>
      <c r="H5" t="s">
        <v>21</v>
      </c>
      <c r="J5" s="5"/>
      <c r="K5" s="5"/>
      <c r="L5" t="s">
        <v>21</v>
      </c>
      <c r="M5" s="4" t="s">
        <v>21</v>
      </c>
    </row>
    <row r="6" spans="1:13" x14ac:dyDescent="0.25">
      <c r="A6" t="s">
        <v>25</v>
      </c>
      <c r="B6" s="3" t="s">
        <v>16</v>
      </c>
      <c r="C6" t="s">
        <v>17</v>
      </c>
      <c r="D6" t="s">
        <v>26</v>
      </c>
      <c r="E6" t="s">
        <v>27</v>
      </c>
      <c r="F6" s="4" t="s">
        <v>20</v>
      </c>
      <c r="G6">
        <v>2</v>
      </c>
      <c r="H6" t="s">
        <v>21</v>
      </c>
      <c r="J6" s="5"/>
      <c r="K6" s="5"/>
      <c r="L6" t="s">
        <v>21</v>
      </c>
      <c r="M6" s="4" t="s">
        <v>21</v>
      </c>
    </row>
    <row r="7" spans="1:13" x14ac:dyDescent="0.25">
      <c r="A7" t="s">
        <v>28</v>
      </c>
      <c r="B7" s="3" t="s">
        <v>16</v>
      </c>
      <c r="C7" t="s">
        <v>17</v>
      </c>
      <c r="D7" t="s">
        <v>29</v>
      </c>
      <c r="E7" t="s">
        <v>30</v>
      </c>
      <c r="F7" s="4" t="s">
        <v>20</v>
      </c>
      <c r="G7">
        <v>2</v>
      </c>
      <c r="H7" t="s">
        <v>21</v>
      </c>
      <c r="J7" s="5"/>
      <c r="K7" s="5"/>
      <c r="L7" t="s">
        <v>21</v>
      </c>
      <c r="M7" s="4" t="s">
        <v>21</v>
      </c>
    </row>
    <row r="8" spans="1:13" x14ac:dyDescent="0.25">
      <c r="A8" t="s">
        <v>31</v>
      </c>
      <c r="B8" s="3" t="s">
        <v>16</v>
      </c>
      <c r="C8" t="s">
        <v>17</v>
      </c>
      <c r="D8" t="s">
        <v>32</v>
      </c>
      <c r="E8" t="s">
        <v>33</v>
      </c>
      <c r="F8" s="4" t="s">
        <v>20</v>
      </c>
      <c r="G8">
        <v>5</v>
      </c>
      <c r="H8" t="s">
        <v>21</v>
      </c>
      <c r="J8" s="5"/>
      <c r="K8" s="5"/>
      <c r="L8" t="s">
        <v>21</v>
      </c>
      <c r="M8" s="4" t="s">
        <v>21</v>
      </c>
    </row>
    <row r="9" spans="1:13" x14ac:dyDescent="0.25">
      <c r="A9" t="s">
        <v>34</v>
      </c>
      <c r="B9" s="3" t="s">
        <v>16</v>
      </c>
      <c r="C9" t="s">
        <v>17</v>
      </c>
      <c r="D9" t="s">
        <v>35</v>
      </c>
      <c r="E9" t="s">
        <v>36</v>
      </c>
      <c r="F9" s="4" t="s">
        <v>20</v>
      </c>
      <c r="G9">
        <v>3</v>
      </c>
      <c r="H9" t="s">
        <v>21</v>
      </c>
      <c r="J9" s="5"/>
      <c r="K9" s="5"/>
      <c r="L9" t="s">
        <v>21</v>
      </c>
      <c r="M9" s="4" t="s">
        <v>21</v>
      </c>
    </row>
    <row r="10" spans="1:13" x14ac:dyDescent="0.25">
      <c r="A10" t="s">
        <v>37</v>
      </c>
      <c r="B10" s="3" t="s">
        <v>16</v>
      </c>
      <c r="C10" t="s">
        <v>17</v>
      </c>
      <c r="D10" t="s">
        <v>38</v>
      </c>
      <c r="E10" t="s">
        <v>39</v>
      </c>
      <c r="F10" s="4" t="s">
        <v>20</v>
      </c>
      <c r="G10">
        <v>0</v>
      </c>
      <c r="H10" t="s">
        <v>21</v>
      </c>
      <c r="J10" s="5"/>
      <c r="K10" s="5"/>
      <c r="L10" t="s">
        <v>21</v>
      </c>
      <c r="M10" s="4" t="s">
        <v>21</v>
      </c>
    </row>
    <row r="11" spans="1:13" x14ac:dyDescent="0.25">
      <c r="A11" t="s">
        <v>40</v>
      </c>
      <c r="B11" s="3" t="s">
        <v>16</v>
      </c>
      <c r="C11" t="s">
        <v>17</v>
      </c>
      <c r="D11" t="s">
        <v>41</v>
      </c>
      <c r="E11" t="s">
        <v>42</v>
      </c>
      <c r="F11" s="4" t="s">
        <v>20</v>
      </c>
      <c r="G11">
        <v>14</v>
      </c>
      <c r="H11" t="s">
        <v>21</v>
      </c>
      <c r="J11" s="5"/>
      <c r="K11" s="5"/>
      <c r="L11" t="s">
        <v>21</v>
      </c>
      <c r="M11" s="4" t="s">
        <v>21</v>
      </c>
    </row>
    <row r="12" spans="1:13" x14ac:dyDescent="0.25">
      <c r="A12" t="s">
        <v>43</v>
      </c>
      <c r="B12" s="3" t="s">
        <v>16</v>
      </c>
      <c r="C12" t="s">
        <v>44</v>
      </c>
      <c r="D12" t="s">
        <v>45</v>
      </c>
      <c r="E12" t="s">
        <v>46</v>
      </c>
      <c r="F12" s="4" t="s">
        <v>47</v>
      </c>
      <c r="G12">
        <v>15</v>
      </c>
      <c r="H12" t="s">
        <v>21</v>
      </c>
      <c r="J12" s="5"/>
      <c r="K12" s="5"/>
      <c r="L12" t="s">
        <v>21</v>
      </c>
      <c r="M12" s="4" t="s">
        <v>21</v>
      </c>
    </row>
    <row r="13" spans="1:13" x14ac:dyDescent="0.25">
      <c r="A13" t="s">
        <v>48</v>
      </c>
      <c r="B13" s="3" t="s">
        <v>16</v>
      </c>
      <c r="C13" t="s">
        <v>44</v>
      </c>
      <c r="D13" t="s">
        <v>49</v>
      </c>
      <c r="E13" t="s">
        <v>50</v>
      </c>
      <c r="F13" s="4" t="s">
        <v>47</v>
      </c>
      <c r="G13">
        <v>7</v>
      </c>
      <c r="H13" t="s">
        <v>21</v>
      </c>
      <c r="J13" s="5"/>
      <c r="K13" s="5"/>
      <c r="L13" t="s">
        <v>21</v>
      </c>
      <c r="M13" s="4" t="s">
        <v>21</v>
      </c>
    </row>
    <row r="14" spans="1:13" x14ac:dyDescent="0.25">
      <c r="A14" t="s">
        <v>51</v>
      </c>
      <c r="B14" s="3" t="s">
        <v>16</v>
      </c>
      <c r="C14" t="s">
        <v>44</v>
      </c>
      <c r="D14" t="s">
        <v>52</v>
      </c>
      <c r="E14" t="s">
        <v>53</v>
      </c>
      <c r="F14" s="4" t="s">
        <v>47</v>
      </c>
      <c r="G14">
        <v>14</v>
      </c>
      <c r="H14" t="s">
        <v>21</v>
      </c>
      <c r="J14" s="5"/>
      <c r="K14" s="5"/>
      <c r="L14" t="s">
        <v>21</v>
      </c>
      <c r="M14" s="4" t="s">
        <v>21</v>
      </c>
    </row>
    <row r="15" spans="1:13" x14ac:dyDescent="0.25">
      <c r="A15" t="s">
        <v>54</v>
      </c>
      <c r="B15" s="3" t="s">
        <v>16</v>
      </c>
      <c r="C15" t="s">
        <v>55</v>
      </c>
      <c r="D15" t="s">
        <v>56</v>
      </c>
      <c r="E15" t="s">
        <v>57</v>
      </c>
      <c r="F15" s="4" t="s">
        <v>47</v>
      </c>
      <c r="G15">
        <v>15</v>
      </c>
      <c r="H15" t="s">
        <v>21</v>
      </c>
      <c r="J15" s="5"/>
      <c r="K15" s="5"/>
      <c r="L15" t="s">
        <v>21</v>
      </c>
      <c r="M15" s="4" t="s">
        <v>21</v>
      </c>
    </row>
    <row r="16" spans="1:13" x14ac:dyDescent="0.25">
      <c r="A16" t="s">
        <v>58</v>
      </c>
      <c r="B16" s="3" t="s">
        <v>16</v>
      </c>
      <c r="C16" t="s">
        <v>55</v>
      </c>
      <c r="D16" t="s">
        <v>59</v>
      </c>
      <c r="E16" t="s">
        <v>60</v>
      </c>
      <c r="F16" s="4" t="s">
        <v>47</v>
      </c>
      <c r="G16">
        <v>6</v>
      </c>
      <c r="H16" t="s">
        <v>21</v>
      </c>
      <c r="J16" s="5"/>
      <c r="K16" s="5"/>
      <c r="L16" t="s">
        <v>21</v>
      </c>
      <c r="M16" s="4" t="s">
        <v>21</v>
      </c>
    </row>
    <row r="17" spans="1:13" x14ac:dyDescent="0.25">
      <c r="A17" t="s">
        <v>61</v>
      </c>
      <c r="B17" s="3" t="s">
        <v>16</v>
      </c>
      <c r="C17" t="s">
        <v>55</v>
      </c>
      <c r="D17" t="s">
        <v>62</v>
      </c>
      <c r="E17" t="s">
        <v>63</v>
      </c>
      <c r="F17" s="4" t="s">
        <v>47</v>
      </c>
      <c r="G17">
        <v>6</v>
      </c>
      <c r="H17" t="s">
        <v>21</v>
      </c>
      <c r="J17" s="5"/>
      <c r="K17" s="5"/>
      <c r="L17" t="s">
        <v>21</v>
      </c>
      <c r="M17" s="4" t="s">
        <v>21</v>
      </c>
    </row>
    <row r="18" spans="1:13" x14ac:dyDescent="0.25">
      <c r="A18" t="s">
        <v>64</v>
      </c>
      <c r="B18" s="3" t="s">
        <v>16</v>
      </c>
      <c r="C18" t="s">
        <v>65</v>
      </c>
      <c r="D18" t="s">
        <v>66</v>
      </c>
      <c r="E18" t="s">
        <v>67</v>
      </c>
      <c r="F18" s="4" t="s">
        <v>47</v>
      </c>
      <c r="G18">
        <v>26</v>
      </c>
      <c r="H18" t="s">
        <v>21</v>
      </c>
      <c r="J18" s="5"/>
      <c r="K18" s="5"/>
      <c r="L18" t="s">
        <v>21</v>
      </c>
      <c r="M18" s="4" t="s">
        <v>21</v>
      </c>
    </row>
    <row r="19" spans="1:13" x14ac:dyDescent="0.25">
      <c r="A19" t="s">
        <v>68</v>
      </c>
      <c r="B19" s="3" t="s">
        <v>16</v>
      </c>
      <c r="C19" t="s">
        <v>65</v>
      </c>
      <c r="D19" t="s">
        <v>69</v>
      </c>
      <c r="E19" t="s">
        <v>70</v>
      </c>
      <c r="F19" s="4" t="s">
        <v>47</v>
      </c>
      <c r="G19">
        <v>23</v>
      </c>
      <c r="H19" t="s">
        <v>21</v>
      </c>
      <c r="J19" s="5"/>
      <c r="K19" s="5"/>
      <c r="L19" t="s">
        <v>21</v>
      </c>
      <c r="M19" s="4" t="s">
        <v>21</v>
      </c>
    </row>
    <row r="20" spans="1:13" x14ac:dyDescent="0.25">
      <c r="A20" t="s">
        <v>71</v>
      </c>
      <c r="B20" s="3" t="s">
        <v>16</v>
      </c>
      <c r="C20" t="s">
        <v>65</v>
      </c>
      <c r="D20" t="s">
        <v>72</v>
      </c>
      <c r="E20" t="s">
        <v>73</v>
      </c>
      <c r="F20" s="4" t="s">
        <v>47</v>
      </c>
      <c r="G20">
        <v>7</v>
      </c>
      <c r="H20" t="s">
        <v>21</v>
      </c>
      <c r="J20" s="5"/>
      <c r="K20" s="5"/>
      <c r="L20" t="s">
        <v>21</v>
      </c>
      <c r="M20" s="4" t="s">
        <v>21</v>
      </c>
    </row>
    <row r="21" spans="1:13" x14ac:dyDescent="0.25">
      <c r="A21" t="s">
        <v>74</v>
      </c>
      <c r="B21" s="3" t="s">
        <v>16</v>
      </c>
      <c r="C21" t="s">
        <v>65</v>
      </c>
      <c r="D21" t="s">
        <v>75</v>
      </c>
      <c r="E21" t="s">
        <v>76</v>
      </c>
      <c r="F21" s="4" t="s">
        <v>47</v>
      </c>
      <c r="G21">
        <v>23</v>
      </c>
      <c r="H21" t="s">
        <v>21</v>
      </c>
      <c r="J21" s="5"/>
      <c r="K21" s="5"/>
      <c r="L21" t="s">
        <v>21</v>
      </c>
      <c r="M21" s="4" t="s">
        <v>21</v>
      </c>
    </row>
    <row r="22" spans="1:13" x14ac:dyDescent="0.25">
      <c r="A22" t="s">
        <v>77</v>
      </c>
      <c r="B22" s="3" t="s">
        <v>16</v>
      </c>
      <c r="C22" t="s">
        <v>65</v>
      </c>
      <c r="D22" t="s">
        <v>78</v>
      </c>
      <c r="E22" t="s">
        <v>79</v>
      </c>
      <c r="F22" s="4" t="s">
        <v>47</v>
      </c>
      <c r="G22">
        <v>7</v>
      </c>
      <c r="H22" t="s">
        <v>21</v>
      </c>
      <c r="J22" s="5"/>
      <c r="K22" s="5"/>
      <c r="L22" t="s">
        <v>21</v>
      </c>
      <c r="M22" s="4" t="s">
        <v>21</v>
      </c>
    </row>
    <row r="23" spans="1:13" x14ac:dyDescent="0.25">
      <c r="A23" t="s">
        <v>80</v>
      </c>
      <c r="B23" s="3" t="s">
        <v>16</v>
      </c>
      <c r="C23" t="s">
        <v>65</v>
      </c>
      <c r="D23" t="s">
        <v>81</v>
      </c>
      <c r="E23" t="s">
        <v>82</v>
      </c>
      <c r="F23" s="4" t="s">
        <v>47</v>
      </c>
      <c r="G23">
        <v>3</v>
      </c>
      <c r="H23" t="s">
        <v>21</v>
      </c>
      <c r="J23" s="5"/>
      <c r="K23" s="5"/>
      <c r="L23" t="s">
        <v>21</v>
      </c>
      <c r="M23" s="4" t="s">
        <v>21</v>
      </c>
    </row>
    <row r="24" spans="1:13" x14ac:dyDescent="0.25">
      <c r="A24" t="s">
        <v>83</v>
      </c>
      <c r="B24" s="3" t="s">
        <v>16</v>
      </c>
      <c r="C24" t="s">
        <v>65</v>
      </c>
      <c r="D24" t="s">
        <v>84</v>
      </c>
      <c r="E24" t="s">
        <v>85</v>
      </c>
      <c r="F24" s="4" t="s">
        <v>47</v>
      </c>
      <c r="G24">
        <v>4</v>
      </c>
      <c r="H24" t="s">
        <v>21</v>
      </c>
      <c r="J24" s="5"/>
      <c r="K24" s="5"/>
      <c r="L24" t="s">
        <v>21</v>
      </c>
      <c r="M24" s="4" t="s">
        <v>21</v>
      </c>
    </row>
    <row r="25" spans="1:13" x14ac:dyDescent="0.25">
      <c r="A25" t="s">
        <v>86</v>
      </c>
      <c r="B25" s="6" t="s">
        <v>87</v>
      </c>
      <c r="C25" t="s">
        <v>88</v>
      </c>
      <c r="D25" t="s">
        <v>89</v>
      </c>
      <c r="E25" t="s">
        <v>90</v>
      </c>
      <c r="F25" s="4" t="s">
        <v>91</v>
      </c>
      <c r="G25">
        <v>32</v>
      </c>
      <c r="H25" t="s">
        <v>21</v>
      </c>
      <c r="J25" s="5"/>
      <c r="K25" s="5"/>
      <c r="L25" t="s">
        <v>21</v>
      </c>
      <c r="M25" s="4" t="s">
        <v>21</v>
      </c>
    </row>
    <row r="26" spans="1:13" x14ac:dyDescent="0.25">
      <c r="A26" t="s">
        <v>92</v>
      </c>
      <c r="B26" s="6" t="s">
        <v>87</v>
      </c>
      <c r="C26" t="s">
        <v>88</v>
      </c>
      <c r="D26" t="s">
        <v>93</v>
      </c>
      <c r="E26" t="s">
        <v>94</v>
      </c>
      <c r="F26" s="4" t="s">
        <v>91</v>
      </c>
      <c r="G26">
        <v>27</v>
      </c>
      <c r="H26" t="s">
        <v>21</v>
      </c>
      <c r="J26" s="5"/>
      <c r="K26" s="5"/>
      <c r="L26" t="s">
        <v>21</v>
      </c>
      <c r="M26" s="4" t="s">
        <v>21</v>
      </c>
    </row>
    <row r="27" spans="1:13" x14ac:dyDescent="0.25">
      <c r="A27" t="s">
        <v>95</v>
      </c>
      <c r="B27" s="6" t="s">
        <v>87</v>
      </c>
      <c r="C27" t="s">
        <v>88</v>
      </c>
      <c r="D27" t="s">
        <v>96</v>
      </c>
      <c r="E27" t="s">
        <v>97</v>
      </c>
      <c r="F27" s="4" t="s">
        <v>91</v>
      </c>
      <c r="G27">
        <v>5</v>
      </c>
      <c r="H27" t="s">
        <v>21</v>
      </c>
      <c r="J27" s="5"/>
      <c r="K27" s="5"/>
      <c r="L27" t="s">
        <v>21</v>
      </c>
      <c r="M27" s="4" t="s">
        <v>21</v>
      </c>
    </row>
    <row r="28" spans="1:13" x14ac:dyDescent="0.25">
      <c r="A28" t="s">
        <v>98</v>
      </c>
      <c r="B28" s="6" t="s">
        <v>87</v>
      </c>
      <c r="C28" t="s">
        <v>99</v>
      </c>
      <c r="D28" t="s">
        <v>100</v>
      </c>
      <c r="E28" t="s">
        <v>101</v>
      </c>
      <c r="F28" s="4" t="s">
        <v>102</v>
      </c>
      <c r="G28">
        <v>345</v>
      </c>
      <c r="H28" t="s">
        <v>21</v>
      </c>
      <c r="J28" s="5"/>
      <c r="K28" s="5"/>
      <c r="L28" t="s">
        <v>21</v>
      </c>
      <c r="M28" s="4" t="s">
        <v>21</v>
      </c>
    </row>
    <row r="29" spans="1:13" x14ac:dyDescent="0.25">
      <c r="A29" t="s">
        <v>103</v>
      </c>
      <c r="B29" s="6" t="s">
        <v>87</v>
      </c>
      <c r="C29" t="s">
        <v>99</v>
      </c>
      <c r="D29" t="s">
        <v>104</v>
      </c>
      <c r="E29" t="s">
        <v>105</v>
      </c>
      <c r="F29" s="4" t="s">
        <v>102</v>
      </c>
      <c r="G29">
        <v>79</v>
      </c>
      <c r="H29" t="s">
        <v>21</v>
      </c>
      <c r="J29" s="5"/>
      <c r="K29" s="5"/>
      <c r="L29" t="s">
        <v>21</v>
      </c>
      <c r="M29" s="4" t="s">
        <v>21</v>
      </c>
    </row>
    <row r="30" spans="1:13" x14ac:dyDescent="0.25">
      <c r="A30" t="s">
        <v>106</v>
      </c>
      <c r="B30" s="6" t="s">
        <v>87</v>
      </c>
      <c r="C30" t="s">
        <v>99</v>
      </c>
      <c r="D30" t="s">
        <v>107</v>
      </c>
      <c r="E30" t="s">
        <v>108</v>
      </c>
      <c r="F30" s="4" t="s">
        <v>109</v>
      </c>
      <c r="G30">
        <v>68</v>
      </c>
      <c r="H30" t="s">
        <v>21</v>
      </c>
      <c r="J30" s="5"/>
      <c r="K30" s="5"/>
      <c r="L30" t="s">
        <v>21</v>
      </c>
      <c r="M30" s="4" t="s">
        <v>21</v>
      </c>
    </row>
    <row r="31" spans="1:13" x14ac:dyDescent="0.25">
      <c r="A31" t="s">
        <v>110</v>
      </c>
      <c r="B31" s="6" t="s">
        <v>87</v>
      </c>
      <c r="C31" t="s">
        <v>99</v>
      </c>
      <c r="D31" t="s">
        <v>111</v>
      </c>
      <c r="E31" t="s">
        <v>112</v>
      </c>
      <c r="F31" s="4" t="s">
        <v>21</v>
      </c>
      <c r="G31">
        <v>29</v>
      </c>
      <c r="H31" t="s">
        <v>21</v>
      </c>
      <c r="J31" s="5"/>
      <c r="K31" s="5"/>
      <c r="L31" t="s">
        <v>21</v>
      </c>
      <c r="M31" s="4" t="s">
        <v>21</v>
      </c>
    </row>
    <row r="32" spans="1:13" x14ac:dyDescent="0.25">
      <c r="A32" t="s">
        <v>113</v>
      </c>
      <c r="B32" s="3" t="s">
        <v>16</v>
      </c>
      <c r="C32" t="s">
        <v>114</v>
      </c>
      <c r="D32" t="s">
        <v>115</v>
      </c>
      <c r="E32" t="s">
        <v>116</v>
      </c>
      <c r="F32" s="4" t="s">
        <v>117</v>
      </c>
      <c r="G32">
        <v>4</v>
      </c>
      <c r="H32" t="s">
        <v>21</v>
      </c>
      <c r="J32" s="5"/>
      <c r="K32" s="5"/>
      <c r="L32" t="s">
        <v>21</v>
      </c>
      <c r="M32" s="4" t="s">
        <v>21</v>
      </c>
    </row>
    <row r="33" spans="1:13" x14ac:dyDescent="0.25">
      <c r="A33" t="s">
        <v>118</v>
      </c>
      <c r="B33" s="3" t="s">
        <v>16</v>
      </c>
      <c r="C33" t="s">
        <v>114</v>
      </c>
      <c r="D33" t="s">
        <v>119</v>
      </c>
      <c r="E33" t="s">
        <v>120</v>
      </c>
      <c r="F33" s="4" t="s">
        <v>117</v>
      </c>
      <c r="G33">
        <v>6</v>
      </c>
      <c r="H33" t="s">
        <v>21</v>
      </c>
      <c r="J33" s="5"/>
      <c r="K33" s="5"/>
      <c r="L33" t="s">
        <v>21</v>
      </c>
      <c r="M33" s="4" t="s">
        <v>21</v>
      </c>
    </row>
    <row r="34" spans="1:13" x14ac:dyDescent="0.25">
      <c r="A34" t="s">
        <v>121</v>
      </c>
      <c r="B34" s="3" t="s">
        <v>16</v>
      </c>
      <c r="C34" t="s">
        <v>114</v>
      </c>
      <c r="D34" t="s">
        <v>122</v>
      </c>
      <c r="E34" t="s">
        <v>123</v>
      </c>
      <c r="F34" s="4" t="s">
        <v>117</v>
      </c>
      <c r="G34">
        <v>45</v>
      </c>
      <c r="H34" t="s">
        <v>21</v>
      </c>
      <c r="J34" s="5"/>
      <c r="K34" s="5"/>
      <c r="L34" t="s">
        <v>21</v>
      </c>
      <c r="M34" s="4" t="s">
        <v>21</v>
      </c>
    </row>
    <row r="35" spans="1:13" x14ac:dyDescent="0.25">
      <c r="A35" t="s">
        <v>124</v>
      </c>
      <c r="B35" s="7" t="s">
        <v>125</v>
      </c>
      <c r="C35" t="s">
        <v>126</v>
      </c>
      <c r="D35" t="s">
        <v>127</v>
      </c>
      <c r="E35" t="s">
        <v>128</v>
      </c>
      <c r="F35" s="4" t="s">
        <v>129</v>
      </c>
      <c r="G35">
        <v>20</v>
      </c>
      <c r="H35" t="s">
        <v>21</v>
      </c>
      <c r="J35" s="5"/>
      <c r="K35" s="5"/>
      <c r="L35" t="s">
        <v>21</v>
      </c>
      <c r="M35" s="4" t="s">
        <v>21</v>
      </c>
    </row>
    <row r="36" spans="1:13" x14ac:dyDescent="0.25">
      <c r="A36" t="s">
        <v>130</v>
      </c>
      <c r="B36" s="7" t="s">
        <v>125</v>
      </c>
      <c r="C36" t="s">
        <v>126</v>
      </c>
      <c r="D36" t="s">
        <v>131</v>
      </c>
      <c r="E36" t="s">
        <v>132</v>
      </c>
      <c r="F36" s="4" t="s">
        <v>21</v>
      </c>
      <c r="G36">
        <v>38</v>
      </c>
      <c r="H36" t="s">
        <v>21</v>
      </c>
      <c r="J36" s="5"/>
      <c r="K36" s="5"/>
      <c r="L36" t="s">
        <v>21</v>
      </c>
      <c r="M36" s="4" t="s">
        <v>21</v>
      </c>
    </row>
    <row r="37" spans="1:13" x14ac:dyDescent="0.25">
      <c r="A37" t="s">
        <v>133</v>
      </c>
      <c r="B37" s="7" t="s">
        <v>125</v>
      </c>
      <c r="C37" t="s">
        <v>126</v>
      </c>
      <c r="D37" t="s">
        <v>134</v>
      </c>
      <c r="E37" t="s">
        <v>135</v>
      </c>
      <c r="F37" s="4" t="s">
        <v>136</v>
      </c>
      <c r="G37">
        <v>6</v>
      </c>
      <c r="H37" t="s">
        <v>21</v>
      </c>
      <c r="J37" s="5"/>
      <c r="K37" s="5"/>
      <c r="L37" t="s">
        <v>21</v>
      </c>
      <c r="M37" s="4" t="s">
        <v>21</v>
      </c>
    </row>
    <row r="38" spans="1:13" x14ac:dyDescent="0.25">
      <c r="A38" t="s">
        <v>137</v>
      </c>
      <c r="B38" s="7" t="s">
        <v>125</v>
      </c>
      <c r="C38" t="s">
        <v>126</v>
      </c>
      <c r="D38" t="s">
        <v>138</v>
      </c>
      <c r="E38" t="s">
        <v>139</v>
      </c>
      <c r="F38" s="4" t="s">
        <v>140</v>
      </c>
      <c r="G38">
        <v>26</v>
      </c>
      <c r="H38" t="s">
        <v>21</v>
      </c>
      <c r="J38" s="5"/>
      <c r="K38" s="5"/>
      <c r="L38" t="s">
        <v>21</v>
      </c>
      <c r="M38" s="4" t="s">
        <v>21</v>
      </c>
    </row>
    <row r="39" spans="1:13" x14ac:dyDescent="0.25">
      <c r="A39" t="s">
        <v>141</v>
      </c>
      <c r="B39" s="7" t="s">
        <v>125</v>
      </c>
      <c r="C39" t="s">
        <v>126</v>
      </c>
      <c r="D39" t="s">
        <v>142</v>
      </c>
      <c r="E39" t="s">
        <v>143</v>
      </c>
      <c r="F39" s="4" t="s">
        <v>144</v>
      </c>
      <c r="G39">
        <v>42</v>
      </c>
      <c r="H39" t="s">
        <v>21</v>
      </c>
      <c r="J39" s="5"/>
      <c r="K39" s="5"/>
      <c r="L39" t="s">
        <v>21</v>
      </c>
      <c r="M39" s="4" t="s">
        <v>21</v>
      </c>
    </row>
    <row r="40" spans="1:13" x14ac:dyDescent="0.25">
      <c r="A40" t="s">
        <v>145</v>
      </c>
      <c r="B40" s="7" t="s">
        <v>125</v>
      </c>
      <c r="C40" t="s">
        <v>126</v>
      </c>
      <c r="D40" t="s">
        <v>146</v>
      </c>
      <c r="E40" t="s">
        <v>147</v>
      </c>
      <c r="F40" s="4" t="s">
        <v>148</v>
      </c>
      <c r="G40">
        <v>21</v>
      </c>
      <c r="H40" t="s">
        <v>21</v>
      </c>
      <c r="J40" s="5"/>
      <c r="K40" s="5"/>
      <c r="L40" t="s">
        <v>21</v>
      </c>
      <c r="M40" s="4" t="s">
        <v>21</v>
      </c>
    </row>
    <row r="41" spans="1:13" x14ac:dyDescent="0.25">
      <c r="A41" t="s">
        <v>149</v>
      </c>
      <c r="B41" s="7" t="s">
        <v>125</v>
      </c>
      <c r="C41" t="s">
        <v>126</v>
      </c>
      <c r="D41" t="s">
        <v>150</v>
      </c>
      <c r="E41" t="s">
        <v>151</v>
      </c>
      <c r="F41" s="4" t="s">
        <v>152</v>
      </c>
      <c r="G41">
        <v>18</v>
      </c>
      <c r="H41" t="s">
        <v>21</v>
      </c>
      <c r="J41" s="5"/>
      <c r="K41" s="5"/>
      <c r="L41" t="s">
        <v>21</v>
      </c>
      <c r="M41" s="4" t="s">
        <v>21</v>
      </c>
    </row>
    <row r="42" spans="1:13" x14ac:dyDescent="0.25">
      <c r="A42" t="s">
        <v>153</v>
      </c>
      <c r="B42" s="7" t="s">
        <v>125</v>
      </c>
      <c r="C42" t="s">
        <v>126</v>
      </c>
      <c r="D42" t="s">
        <v>154</v>
      </c>
      <c r="E42" t="s">
        <v>155</v>
      </c>
      <c r="F42" s="4" t="s">
        <v>156</v>
      </c>
      <c r="G42">
        <v>9</v>
      </c>
      <c r="H42" t="s">
        <v>21</v>
      </c>
      <c r="J42" s="5"/>
      <c r="K42" s="5"/>
      <c r="L42" t="s">
        <v>21</v>
      </c>
      <c r="M42" s="4" t="s">
        <v>21</v>
      </c>
    </row>
    <row r="43" spans="1:13" x14ac:dyDescent="0.25">
      <c r="A43" t="s">
        <v>157</v>
      </c>
      <c r="B43" s="7" t="s">
        <v>125</v>
      </c>
      <c r="C43" t="s">
        <v>126</v>
      </c>
      <c r="D43" t="s">
        <v>158</v>
      </c>
      <c r="E43" t="s">
        <v>159</v>
      </c>
      <c r="F43" s="4" t="s">
        <v>160</v>
      </c>
      <c r="G43">
        <v>6</v>
      </c>
      <c r="H43" t="s">
        <v>21</v>
      </c>
      <c r="J43" s="5"/>
      <c r="K43" s="5"/>
      <c r="L43" t="s">
        <v>21</v>
      </c>
      <c r="M43" s="4" t="s">
        <v>21</v>
      </c>
    </row>
    <row r="44" spans="1:13" x14ac:dyDescent="0.25">
      <c r="A44" t="s">
        <v>161</v>
      </c>
      <c r="B44" s="7" t="s">
        <v>125</v>
      </c>
      <c r="C44" t="s">
        <v>162</v>
      </c>
      <c r="D44" t="s">
        <v>163</v>
      </c>
      <c r="E44" t="s">
        <v>164</v>
      </c>
      <c r="F44" s="4" t="s">
        <v>21</v>
      </c>
      <c r="G44">
        <v>4</v>
      </c>
      <c r="H44" t="s">
        <v>21</v>
      </c>
      <c r="J44" s="5"/>
      <c r="K44" s="5"/>
      <c r="L44" t="s">
        <v>21</v>
      </c>
      <c r="M44" s="4" t="s">
        <v>21</v>
      </c>
    </row>
    <row r="45" spans="1:13" x14ac:dyDescent="0.25">
      <c r="A45" t="s">
        <v>165</v>
      </c>
      <c r="B45" s="7" t="s">
        <v>125</v>
      </c>
      <c r="C45" t="s">
        <v>162</v>
      </c>
      <c r="D45" t="s">
        <v>166</v>
      </c>
      <c r="E45" t="s">
        <v>167</v>
      </c>
      <c r="F45" s="4" t="s">
        <v>21</v>
      </c>
      <c r="G45">
        <v>19</v>
      </c>
      <c r="H45" t="s">
        <v>21</v>
      </c>
      <c r="J45" s="5"/>
      <c r="K45" s="5"/>
      <c r="L45" t="s">
        <v>21</v>
      </c>
      <c r="M45" s="4" t="s">
        <v>21</v>
      </c>
    </row>
    <row r="46" spans="1:13" x14ac:dyDescent="0.25">
      <c r="A46" t="s">
        <v>168</v>
      </c>
      <c r="B46" s="7" t="s">
        <v>125</v>
      </c>
      <c r="C46" t="s">
        <v>162</v>
      </c>
      <c r="D46" t="s">
        <v>169</v>
      </c>
      <c r="E46" t="s">
        <v>170</v>
      </c>
      <c r="F46" s="4" t="s">
        <v>171</v>
      </c>
      <c r="G46">
        <v>51</v>
      </c>
      <c r="H46" t="s">
        <v>21</v>
      </c>
      <c r="J46" s="5"/>
      <c r="K46" s="5"/>
      <c r="L46" t="s">
        <v>21</v>
      </c>
      <c r="M46" s="4" t="s">
        <v>21</v>
      </c>
    </row>
    <row r="47" spans="1:13" x14ac:dyDescent="0.25">
      <c r="A47" t="s">
        <v>172</v>
      </c>
      <c r="B47" s="7" t="s">
        <v>125</v>
      </c>
      <c r="C47" t="s">
        <v>162</v>
      </c>
      <c r="D47" t="s">
        <v>173</v>
      </c>
      <c r="E47" t="s">
        <v>174</v>
      </c>
      <c r="F47" s="4" t="s">
        <v>175</v>
      </c>
      <c r="G47">
        <v>6</v>
      </c>
      <c r="H47" t="s">
        <v>21</v>
      </c>
      <c r="J47" s="5"/>
      <c r="K47" s="5"/>
      <c r="L47" t="s">
        <v>21</v>
      </c>
      <c r="M47" s="4" t="s">
        <v>21</v>
      </c>
    </row>
    <row r="48" spans="1:13" x14ac:dyDescent="0.25">
      <c r="A48" t="s">
        <v>176</v>
      </c>
      <c r="B48" s="7" t="s">
        <v>125</v>
      </c>
      <c r="C48" t="s">
        <v>177</v>
      </c>
      <c r="D48" t="s">
        <v>178</v>
      </c>
      <c r="E48" t="s">
        <v>179</v>
      </c>
      <c r="F48" s="4" t="s">
        <v>21</v>
      </c>
      <c r="G48">
        <v>1</v>
      </c>
      <c r="H48" t="s">
        <v>21</v>
      </c>
      <c r="J48" s="5"/>
      <c r="K48" s="5"/>
      <c r="L48" t="s">
        <v>21</v>
      </c>
      <c r="M48" s="4" t="s">
        <v>21</v>
      </c>
    </row>
    <row r="49" spans="1:13" x14ac:dyDescent="0.25">
      <c r="A49" t="s">
        <v>180</v>
      </c>
      <c r="B49" s="7" t="s">
        <v>125</v>
      </c>
      <c r="C49" t="s">
        <v>177</v>
      </c>
      <c r="D49" t="s">
        <v>181</v>
      </c>
      <c r="E49" t="s">
        <v>182</v>
      </c>
      <c r="F49" s="4" t="s">
        <v>21</v>
      </c>
      <c r="G49">
        <v>0</v>
      </c>
      <c r="H49" t="s">
        <v>21</v>
      </c>
      <c r="J49" s="5"/>
      <c r="K49" s="5"/>
      <c r="L49" t="s">
        <v>21</v>
      </c>
      <c r="M49" s="4" t="s">
        <v>21</v>
      </c>
    </row>
    <row r="50" spans="1:13" x14ac:dyDescent="0.25">
      <c r="A50" t="s">
        <v>183</v>
      </c>
      <c r="B50" s="7" t="s">
        <v>125</v>
      </c>
      <c r="C50" t="s">
        <v>177</v>
      </c>
      <c r="D50" t="s">
        <v>184</v>
      </c>
      <c r="E50" t="s">
        <v>185</v>
      </c>
      <c r="F50" s="4" t="s">
        <v>21</v>
      </c>
      <c r="G50">
        <v>0</v>
      </c>
      <c r="H50" t="s">
        <v>21</v>
      </c>
      <c r="J50" s="5"/>
      <c r="K50" s="5"/>
      <c r="L50" t="s">
        <v>21</v>
      </c>
      <c r="M50" s="4" t="s">
        <v>21</v>
      </c>
    </row>
  </sheetData>
  <dataValidations count="6">
    <dataValidation type="list" allowBlank="1" sqref="H10:H50">
      <formula1>"Pendiente,En curso,Terminada"</formula1>
    </dataValidation>
    <dataValidation type="list" allowBlank="1" sqref="H4:H50">
      <formula1>"Pendiente,En curso,Terminada"</formula1>
    </dataValidation>
    <dataValidation type="decimal" allowBlank="1" showErrorMessage="1" errorTitle="Avance" error="Escribe un porcentaje entre 0 y 100." sqref="I10:I50">
      <formula1>0</formula1>
      <formula2>100</formula2>
    </dataValidation>
    <dataValidation type="decimal" allowBlank="1" showErrorMessage="1" errorTitle="Avance" error="Escribe un porcentaje entre 0 y 100." sqref="I4:I50">
      <formula1>0</formula1>
      <formula2>100</formula2>
    </dataValidation>
    <dataValidation type="date" operator="greaterThan" allowBlank="1" sqref="J10:K50">
      <formula1>36526.208333333336</formula1>
    </dataValidation>
    <dataValidation type="date" operator="greaterThan" allowBlank="1" sqref="J4:K50">
      <formula1>36526.208333333336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FormatPr defaultRowHeight="15" outlineLevelRow="0" outlineLevelCol="0" x14ac:dyDescent="55"/>
  <cols>
    <col min="1" max="1" width="6" customWidth="1"/>
    <col min="2" max="2" width="32" customWidth="1"/>
    <col min="3" max="3" width="14" customWidth="1"/>
    <col min="4" max="4" width="50" customWidth="1"/>
    <col min="5" max="5" width="18" style="8" customWidth="1"/>
    <col min="6" max="6" width="12" style="9" customWidth="1"/>
  </cols>
  <sheetData>
    <row r="1" spans="1:6" x14ac:dyDescent="0.25">
      <c r="A1" s="1" t="s">
        <v>186</v>
      </c>
      <c r="E1" s="8"/>
      <c r="F1" s="9"/>
    </row>
    <row r="2" spans="1:6" x14ac:dyDescent="0.25">
      <c r="A2" s="2" t="s">
        <v>187</v>
      </c>
      <c r="E2" s="8"/>
      <c r="F2" s="9"/>
    </row>
    <row r="3" spans="1:6" x14ac:dyDescent="0.25">
      <c r="A3" t="s">
        <v>188</v>
      </c>
      <c r="B3" t="s">
        <v>189</v>
      </c>
      <c r="C3" t="s">
        <v>3</v>
      </c>
      <c r="D3" t="s">
        <v>190</v>
      </c>
      <c r="E3" s="8" t="s">
        <v>191</v>
      </c>
      <c r="F3" s="9" t="s">
        <v>192</v>
      </c>
    </row>
    <row r="4" spans="1:6" x14ac:dyDescent="0.25">
      <c r="A4">
        <v>1</v>
      </c>
      <c r="B4" t="s">
        <v>193</v>
      </c>
      <c r="C4" s="3" t="s">
        <v>16</v>
      </c>
      <c r="D4" t="s">
        <v>194</v>
      </c>
      <c r="E4" s="8">
        <v>9500000</v>
      </c>
      <c r="F4" s="9">
        <v>0.06132834227532196</v>
      </c>
    </row>
    <row r="5" spans="1:6" x14ac:dyDescent="0.25">
      <c r="A5">
        <v>2</v>
      </c>
      <c r="B5" t="s">
        <v>195</v>
      </c>
      <c r="C5" s="3" t="s">
        <v>16</v>
      </c>
      <c r="D5" t="s">
        <v>196</v>
      </c>
      <c r="E5" s="8">
        <v>29686300</v>
      </c>
      <c r="F5" s="9">
        <v>0.1916433228724095</v>
      </c>
    </row>
    <row r="6" spans="1:6" x14ac:dyDescent="0.25">
      <c r="A6">
        <v>3</v>
      </c>
      <c r="B6" t="s">
        <v>197</v>
      </c>
      <c r="C6" s="3" t="s">
        <v>16</v>
      </c>
      <c r="D6" t="s">
        <v>198</v>
      </c>
      <c r="E6" s="8">
        <v>6559000</v>
      </c>
      <c r="F6" s="9">
        <v>0.04234237862987755</v>
      </c>
    </row>
    <row r="7" spans="1:6" x14ac:dyDescent="0.25">
      <c r="A7">
        <v>4</v>
      </c>
      <c r="B7" t="s">
        <v>199</v>
      </c>
      <c r="C7" s="6" t="s">
        <v>87</v>
      </c>
      <c r="D7" t="s">
        <v>200</v>
      </c>
      <c r="E7" s="8">
        <v>6731172</v>
      </c>
      <c r="F7" s="9">
        <v>0.04345385477158563</v>
      </c>
    </row>
    <row r="8" spans="1:6" x14ac:dyDescent="0.25">
      <c r="A8">
        <v>5</v>
      </c>
      <c r="B8" t="s">
        <v>201</v>
      </c>
      <c r="C8" s="6" t="s">
        <v>87</v>
      </c>
      <c r="D8" t="s">
        <v>202</v>
      </c>
      <c r="E8" s="8">
        <v>900000</v>
      </c>
      <c r="F8" s="9">
        <v>0.005810053478714712</v>
      </c>
    </row>
    <row r="9" spans="1:6" x14ac:dyDescent="0.25">
      <c r="A9">
        <v>6</v>
      </c>
      <c r="B9" t="s">
        <v>203</v>
      </c>
      <c r="C9" s="6" t="s">
        <v>87</v>
      </c>
      <c r="D9" t="s">
        <v>204</v>
      </c>
      <c r="E9" s="8">
        <v>11277000</v>
      </c>
      <c r="F9" s="9">
        <v>0.07279997008829533</v>
      </c>
    </row>
    <row r="10" spans="1:6" x14ac:dyDescent="0.25">
      <c r="A10">
        <v>7</v>
      </c>
      <c r="B10" t="s">
        <v>205</v>
      </c>
      <c r="C10" s="6" t="s">
        <v>87</v>
      </c>
      <c r="D10" t="s">
        <v>206</v>
      </c>
      <c r="E10" s="8">
        <v>4859905</v>
      </c>
      <c r="F10" s="9">
        <v>0.03137367550163669</v>
      </c>
    </row>
    <row r="11" spans="1:6" x14ac:dyDescent="0.25">
      <c r="A11">
        <v>8</v>
      </c>
      <c r="B11" t="s">
        <v>134</v>
      </c>
      <c r="C11" s="7" t="s">
        <v>125</v>
      </c>
      <c r="D11" t="s">
        <v>207</v>
      </c>
      <c r="E11" s="8">
        <v>0</v>
      </c>
      <c r="F11" s="9">
        <v>0</v>
      </c>
    </row>
    <row r="12" spans="1:6" x14ac:dyDescent="0.25">
      <c r="A12">
        <v>9</v>
      </c>
      <c r="B12" t="s">
        <v>146</v>
      </c>
      <c r="C12" s="6" t="s">
        <v>87</v>
      </c>
      <c r="D12" t="s">
        <v>208</v>
      </c>
      <c r="E12" s="8">
        <v>1706510</v>
      </c>
      <c r="F12" s="9">
        <v>0.011016571513290493</v>
      </c>
    </row>
    <row r="13" spans="1:6" x14ac:dyDescent="0.25">
      <c r="A13">
        <v>10</v>
      </c>
      <c r="B13" t="s">
        <v>209</v>
      </c>
      <c r="C13" s="7" t="s">
        <v>125</v>
      </c>
      <c r="D13" t="s">
        <v>210</v>
      </c>
      <c r="E13" s="8">
        <v>16335725</v>
      </c>
      <c r="F13" s="9">
        <v>0.10545715095952987</v>
      </c>
    </row>
    <row r="14" spans="1:6" x14ac:dyDescent="0.25">
      <c r="A14">
        <v>11</v>
      </c>
      <c r="B14" t="s">
        <v>138</v>
      </c>
      <c r="C14" s="7" t="s">
        <v>125</v>
      </c>
      <c r="D14" t="s">
        <v>211</v>
      </c>
      <c r="E14" s="8">
        <v>4933497.8</v>
      </c>
      <c r="F14" s="9">
        <v>0.031848762283468196</v>
      </c>
    </row>
    <row r="15" spans="1:6" x14ac:dyDescent="0.25">
      <c r="A15">
        <v>12</v>
      </c>
      <c r="B15" t="s">
        <v>150</v>
      </c>
      <c r="C15" s="7" t="s">
        <v>125</v>
      </c>
      <c r="D15" t="s">
        <v>212</v>
      </c>
      <c r="E15" s="8">
        <v>3050000</v>
      </c>
      <c r="F15" s="9">
        <v>0.019689625677866522</v>
      </c>
    </row>
    <row r="16" spans="1:6" x14ac:dyDescent="0.25">
      <c r="A16">
        <v>13</v>
      </c>
      <c r="B16" t="s">
        <v>154</v>
      </c>
      <c r="C16" s="7" t="s">
        <v>125</v>
      </c>
      <c r="D16" t="s">
        <v>213</v>
      </c>
      <c r="E16" s="8">
        <v>6000000</v>
      </c>
      <c r="F16" s="9">
        <v>0.03873368985809808</v>
      </c>
    </row>
    <row r="17" spans="1:6" x14ac:dyDescent="0.25">
      <c r="A17">
        <v>14</v>
      </c>
      <c r="B17" t="s">
        <v>158</v>
      </c>
      <c r="C17" s="7" t="s">
        <v>125</v>
      </c>
      <c r="D17" t="s">
        <v>214</v>
      </c>
      <c r="E17" s="8">
        <v>7928100</v>
      </c>
      <c r="F17" s="9">
        <v>0.0511807610939979</v>
      </c>
    </row>
    <row r="18" spans="1:6" x14ac:dyDescent="0.25">
      <c r="A18">
        <v>15</v>
      </c>
      <c r="B18" t="s">
        <v>215</v>
      </c>
      <c r="C18" s="7" t="s">
        <v>125</v>
      </c>
      <c r="D18" t="s">
        <v>216</v>
      </c>
      <c r="E18" s="8">
        <v>28350000</v>
      </c>
      <c r="F18" s="9">
        <v>0.18301668457951342</v>
      </c>
    </row>
    <row r="19" spans="1:6" x14ac:dyDescent="0.25">
      <c r="A19">
        <v>16</v>
      </c>
      <c r="B19" t="s">
        <v>217</v>
      </c>
      <c r="C19" s="7" t="s">
        <v>125</v>
      </c>
      <c r="D19" t="s">
        <v>218</v>
      </c>
      <c r="E19" s="8">
        <v>3536700.0000000005</v>
      </c>
      <c r="F19" s="9">
        <v>0.022831573486855914</v>
      </c>
    </row>
    <row r="20" spans="1:6" x14ac:dyDescent="0.25">
      <c r="A20">
        <v>17</v>
      </c>
      <c r="B20" t="s">
        <v>219</v>
      </c>
      <c r="C20" s="7" t="s">
        <v>125</v>
      </c>
      <c r="D20" t="s">
        <v>220</v>
      </c>
      <c r="E20" s="8">
        <v>13550000</v>
      </c>
      <c r="F20" s="9">
        <v>0.08747358292953816</v>
      </c>
    </row>
    <row r="21" spans="1:6" x14ac:dyDescent="0.25">
      <c r="A21" t="s">
        <v>221</v>
      </c>
      <c r="E21" s="8">
        <f>SUBTOTAL(109,T_Presupuesto_MP[VALOR])</f>
      </c>
      <c r="F21" s="9">
        <f>SUBTOTAL(109,T_Presupuesto_MP[% DEL TOTAL])</f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16" customWidth="1"/>
    <col min="2" max="2" width="60" customWidth="1"/>
    <col min="3" max="3" width="11" customWidth="1"/>
    <col min="4" max="4" width="13" customWidth="1"/>
    <col min="5" max="5" width="18" style="8" customWidth="1"/>
    <col min="6" max="6" width="12" style="9" customWidth="1"/>
  </cols>
  <sheetData>
    <row r="1" spans="1:6" x14ac:dyDescent="0.25">
      <c r="A1" s="1" t="s">
        <v>222</v>
      </c>
      <c r="E1" s="8"/>
      <c r="F1" s="9"/>
    </row>
    <row r="2" spans="1:6" x14ac:dyDescent="0.25">
      <c r="A2" s="2" t="s">
        <v>223</v>
      </c>
      <c r="E2" s="8"/>
      <c r="F2" s="9"/>
    </row>
    <row r="3" spans="1:6" x14ac:dyDescent="0.25">
      <c r="A3" t="s">
        <v>3</v>
      </c>
      <c r="B3" t="s">
        <v>224</v>
      </c>
      <c r="C3" t="s">
        <v>225</v>
      </c>
      <c r="D3" t="s">
        <v>226</v>
      </c>
      <c r="E3" s="8" t="s">
        <v>227</v>
      </c>
      <c r="F3" s="9" t="s">
        <v>192</v>
      </c>
    </row>
    <row r="4" spans="1:6" x14ac:dyDescent="0.25">
      <c r="A4" s="3" t="s">
        <v>16</v>
      </c>
      <c r="B4" s="4" t="s">
        <v>228</v>
      </c>
      <c r="C4">
        <v>24</v>
      </c>
      <c r="D4">
        <v>3</v>
      </c>
      <c r="E4" s="8">
        <v>45745300</v>
      </c>
      <c r="F4" s="9">
        <v>0.295314043777609</v>
      </c>
    </row>
    <row r="5" spans="1:6" x14ac:dyDescent="0.25">
      <c r="A5" s="6" t="s">
        <v>87</v>
      </c>
      <c r="B5" s="4" t="s">
        <v>229</v>
      </c>
      <c r="C5">
        <v>7</v>
      </c>
      <c r="D5">
        <v>5</v>
      </c>
      <c r="E5" s="8">
        <v>25474587</v>
      </c>
      <c r="F5" s="9">
        <v>0.16445412535352286</v>
      </c>
    </row>
    <row r="6" spans="1:6" x14ac:dyDescent="0.25">
      <c r="A6" s="7" t="s">
        <v>125</v>
      </c>
      <c r="B6" s="4" t="s">
        <v>230</v>
      </c>
      <c r="C6">
        <v>16</v>
      </c>
      <c r="D6">
        <v>9</v>
      </c>
      <c r="E6" s="8">
        <v>83684022.8</v>
      </c>
      <c r="F6" s="9">
        <v>0.5402318308688681</v>
      </c>
    </row>
    <row r="7" spans="1:6" x14ac:dyDescent="0.25">
      <c r="A7" t="s">
        <v>221</v>
      </c>
      <c r="C7">
        <f>SUBTOTAL(109,T_Resumen_Tipo_Obra[SUBETAPAS])</f>
      </c>
      <c r="D7">
        <f>SUBTOTAL(109,T_Resumen_Tipo_Obra[CAPITULOS MP])</f>
      </c>
      <c r="E7" s="8">
        <f>SUBTOTAL(109,T_Resumen_Tipo_Obra[VALOR MP])</f>
      </c>
      <c r="F7" s="9">
        <f>SUBTOTAL(109,T_Resumen_Tipo_Obra[% DEL TOTAL])</f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Formato unico</vt:lpstr>
      <vt:lpstr>Presupuesto MP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ConstruMaster</dc:creator>
  <dc:title/>
  <dc:subject/>
  <dc:description/>
  <cp:keywords/>
  <cp:category/>
  <cp:lastModifiedBy>Unknown</cp:lastModifiedBy>
  <dcterms:created xsi:type="dcterms:W3CDTF">2026-09-26T16:13:31Z</dcterms:created>
  <dcterms:modified xsi:type="dcterms:W3CDTF">2026-09-26T16:13:31Z</dcterms:modified>
</cp:coreProperties>
</file>