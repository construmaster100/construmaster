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30"/>
  <workbookPr/>
  <mc:AlternateContent xmlns:mc="http://schemas.openxmlformats.org/markup-compatibility/2006">
    <mc:Choice Requires="x15">
      <x15ac:absPath xmlns:x15ac="http://schemas.microsoft.com/office/spreadsheetml/2010/11/ac" url="C:\Freya\Solon\El boulevard de los sueños\Presupuesto\"/>
    </mc:Choice>
  </mc:AlternateContent>
  <xr:revisionPtr revIDLastSave="0" documentId="13_ncr:1_{77B7F84C-E7B9-4F2A-8E2B-D46BF410A24A}" xr6:coauthVersionLast="47" xr6:coauthVersionMax="47" xr10:uidLastSave="{00000000-0000-0000-0000-000000000000}"/>
  <bookViews>
    <workbookView xWindow="-20610" yWindow="-120" windowWidth="20730" windowHeight="11160" xr2:uid="{00000000-000D-0000-FFFF-FFFF00000000}"/>
  </bookViews>
  <sheets>
    <sheet name="Presupuesto" sheetId="1" r:id="rId1"/>
    <sheet name="Programación" sheetId="2" r:id="rId2"/>
    <sheet name="Programación (2)" sheetId="4" r:id="rId3"/>
    <sheet name="A.P.U" sheetId="3" r:id="rId4"/>
  </sheets>
  <externalReferences>
    <externalReference r:id="rId5"/>
  </externalReferences>
  <definedNames>
    <definedName name="_xlnm.Print_Area" localSheetId="0">Presupuesto!$A$1:$J$194</definedName>
    <definedName name="_xlnm.Print_Area" localSheetId="1">Programación!$A$1:$CN$63</definedName>
    <definedName name="_xlnm.Print_Area" localSheetId="2">'Programación (2)'!$A$1:$CN$63</definedName>
    <definedName name="ClaseOfer">[1]Validaciones!$K$3:$K$11</definedName>
    <definedName name="CodAPU">[1]Validaciones!$AR$3:$AR$185</definedName>
    <definedName name="completa_ab">[1]Validaciones!$AM$3:$AM$1157</definedName>
    <definedName name="dURACION">[1]Validaciones!$Y$3:$Y$10</definedName>
    <definedName name="FLIAS100">[1]Validaciones!$W$7:$W$102</definedName>
    <definedName name="flias1500">[1]Validaciones!$W$7:$W$1502</definedName>
    <definedName name="FLIAS60">[1]Validaciones!$W$7:$W$62</definedName>
    <definedName name="inicio_secb">[1]Validaciones!$AN$3</definedName>
    <definedName name="principal">[1]Validaciones!$AL$3:$AL$35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uri="GoogleSheetsCustomDataVersion1">
      <go:sheetsCustomData xmlns:go="http://customooxmlschemas.google.com/" r:id="rId16" roundtripDataSignature="AMtx7mgY2wkc46mLIv4YfPXidyjPK+4ueg=="/>
    </ext>
  </extLst>
</workbook>
</file>

<file path=xl/calcChain.xml><?xml version="1.0" encoding="utf-8"?>
<calcChain xmlns="http://schemas.openxmlformats.org/spreadsheetml/2006/main">
  <c r="F182" i="1" l="1"/>
  <c r="J187" i="1" l="1"/>
  <c r="J188" i="1"/>
  <c r="J186" i="1"/>
  <c r="E10" i="3"/>
  <c r="E12" i="3" s="1"/>
  <c r="E6" i="3"/>
  <c r="E7" i="3" s="1"/>
  <c r="J189" i="1" l="1"/>
  <c r="E18" i="3"/>
  <c r="J18" i="1" l="1"/>
  <c r="J147" i="1"/>
  <c r="J146" i="1"/>
  <c r="J9" i="1"/>
  <c r="J11" i="1"/>
  <c r="J182" i="1"/>
  <c r="J183" i="1" s="1"/>
  <c r="J45" i="1"/>
  <c r="J49" i="1"/>
  <c r="G32" i="1"/>
  <c r="H32" i="1" s="1"/>
  <c r="J32" i="1" s="1"/>
  <c r="J50" i="1"/>
  <c r="J46" i="1"/>
  <c r="J34" i="1"/>
  <c r="J39" i="1"/>
  <c r="J42" i="1"/>
  <c r="J30" i="1"/>
  <c r="J24" i="1"/>
  <c r="J27" i="1"/>
  <c r="J33" i="1"/>
  <c r="J36" i="1"/>
  <c r="J37" i="1"/>
  <c r="J38" i="1"/>
  <c r="J44" i="1"/>
  <c r="J48" i="1"/>
  <c r="J177" i="1"/>
  <c r="J178" i="1" s="1"/>
  <c r="F172" i="1"/>
  <c r="J172" i="1" s="1"/>
  <c r="F171" i="1"/>
  <c r="J171" i="1" s="1"/>
  <c r="L166" i="1"/>
  <c r="J166" i="1"/>
  <c r="J167" i="1" s="1"/>
  <c r="J161" i="1"/>
  <c r="J160" i="1"/>
  <c r="J159" i="1"/>
  <c r="J158" i="1"/>
  <c r="J153" i="1"/>
  <c r="J152" i="1"/>
  <c r="G145" i="1"/>
  <c r="J145" i="1" s="1"/>
  <c r="G144" i="1"/>
  <c r="J144" i="1" s="1"/>
  <c r="G143" i="1"/>
  <c r="J143" i="1" s="1"/>
  <c r="G142" i="1"/>
  <c r="J142" i="1" s="1"/>
  <c r="G141" i="1"/>
  <c r="J141" i="1" s="1"/>
  <c r="J140" i="1"/>
  <c r="G139" i="1"/>
  <c r="J139" i="1" s="1"/>
  <c r="G138" i="1"/>
  <c r="J138" i="1" s="1"/>
  <c r="G137" i="1"/>
  <c r="J137" i="1" s="1"/>
  <c r="J135" i="1"/>
  <c r="G134" i="1"/>
  <c r="J134" i="1" s="1"/>
  <c r="G133" i="1"/>
  <c r="J133" i="1" s="1"/>
  <c r="G132" i="1"/>
  <c r="J132" i="1" s="1"/>
  <c r="G131" i="1"/>
  <c r="J131" i="1" s="1"/>
  <c r="G130" i="1"/>
  <c r="J130" i="1" s="1"/>
  <c r="G129" i="1"/>
  <c r="J129" i="1" s="1"/>
  <c r="G128" i="1"/>
  <c r="J128" i="1" s="1"/>
  <c r="G127" i="1"/>
  <c r="J127" i="1" s="1"/>
  <c r="J122" i="1"/>
  <c r="J121" i="1"/>
  <c r="J115" i="1"/>
  <c r="J114" i="1"/>
  <c r="J113" i="1"/>
  <c r="J112" i="1"/>
  <c r="J111" i="1"/>
  <c r="J110" i="1"/>
  <c r="J109" i="1"/>
  <c r="F108" i="1"/>
  <c r="J108" i="1" s="1"/>
  <c r="J107" i="1"/>
  <c r="J106" i="1"/>
  <c r="J105" i="1"/>
  <c r="J104" i="1"/>
  <c r="F103" i="1"/>
  <c r="J103" i="1" s="1"/>
  <c r="F102" i="1"/>
  <c r="J102" i="1" s="1"/>
  <c r="J97" i="1"/>
  <c r="J96" i="1"/>
  <c r="J91" i="1"/>
  <c r="J88" i="1"/>
  <c r="J87" i="1"/>
  <c r="J86" i="1"/>
  <c r="J85" i="1"/>
  <c r="J84" i="1"/>
  <c r="J83" i="1"/>
  <c r="J82" i="1"/>
  <c r="J81" i="1"/>
  <c r="J80" i="1"/>
  <c r="J79" i="1"/>
  <c r="J74" i="1"/>
  <c r="J75" i="1" s="1"/>
  <c r="H69" i="1"/>
  <c r="J69" i="1" s="1"/>
  <c r="G67" i="1"/>
  <c r="H67" i="1" s="1"/>
  <c r="J67" i="1" s="1"/>
  <c r="L62" i="1"/>
  <c r="J62" i="1"/>
  <c r="J61" i="1"/>
  <c r="J60" i="1"/>
  <c r="J59" i="1"/>
  <c r="J58" i="1"/>
  <c r="J57" i="1"/>
  <c r="J56" i="1"/>
  <c r="J55" i="1"/>
  <c r="H41" i="1"/>
  <c r="J41" i="1" s="1"/>
  <c r="G29" i="1"/>
  <c r="H29" i="1" s="1"/>
  <c r="J29" i="1" s="1"/>
  <c r="H26" i="1"/>
  <c r="J26" i="1" s="1"/>
  <c r="G23" i="1"/>
  <c r="H23" i="1" s="1"/>
  <c r="J23" i="1" s="1"/>
  <c r="J17" i="1"/>
  <c r="J16" i="1"/>
  <c r="J14" i="1"/>
  <c r="J12" i="1"/>
  <c r="J10" i="1"/>
  <c r="J51" i="1" l="1"/>
  <c r="J63" i="1"/>
  <c r="J70" i="1"/>
  <c r="J19" i="1"/>
  <c r="J148" i="1"/>
  <c r="J98" i="1"/>
  <c r="J173" i="1"/>
  <c r="J154" i="1"/>
  <c r="J162" i="1"/>
  <c r="J123" i="1"/>
  <c r="J89" i="1"/>
  <c r="J92" i="1" s="1"/>
  <c r="J117" i="1"/>
  <c r="J192" i="1" l="1"/>
  <c r="D194" i="1" s="1"/>
  <c r="J193" i="1" l="1"/>
  <c r="J194" i="1" s="1"/>
</calcChain>
</file>

<file path=xl/sharedStrings.xml><?xml version="1.0" encoding="utf-8"?>
<sst xmlns="http://schemas.openxmlformats.org/spreadsheetml/2006/main" count="1178" uniqueCount="323">
  <si>
    <t>PRECIO REAL</t>
  </si>
  <si>
    <t xml:space="preserve">PROYECTO: </t>
  </si>
  <si>
    <t>Vivienda Unifamiliar "BOULEVARD DE LOS SUEÑOS"</t>
  </si>
  <si>
    <t>FECHA:</t>
  </si>
  <si>
    <t>ÁREA:</t>
  </si>
  <si>
    <t>PROPIETARIOS:</t>
  </si>
  <si>
    <t>Sirley Mayoriano / Edilia Noreño</t>
  </si>
  <si>
    <t xml:space="preserve">UBICACIÓN: </t>
  </si>
  <si>
    <t>Vereda Tras del Alto - Tunja, Boyacá</t>
  </si>
  <si>
    <t>Arq. Arturo Castro Pacheco</t>
  </si>
  <si>
    <t>CAP</t>
  </si>
  <si>
    <t>REF</t>
  </si>
  <si>
    <t>ITEM</t>
  </si>
  <si>
    <t>SUB-ITEM</t>
  </si>
  <si>
    <t>UNIDAD</t>
  </si>
  <si>
    <t>CANT.</t>
  </si>
  <si>
    <t>ÁREA</t>
  </si>
  <si>
    <t>MEDIDA</t>
  </si>
  <si>
    <t>VALOR U.</t>
  </si>
  <si>
    <t>VALOR TOTAL</t>
  </si>
  <si>
    <t>1.) Preliminares</t>
  </si>
  <si>
    <t xml:space="preserve">Cerramiento </t>
  </si>
  <si>
    <t>GL</t>
  </si>
  <si>
    <t>Descapote</t>
  </si>
  <si>
    <t>Retroexcavadora</t>
  </si>
  <si>
    <t>Replanteo</t>
  </si>
  <si>
    <t>Campamento</t>
  </si>
  <si>
    <t>Caseta de Madera y Lamina</t>
  </si>
  <si>
    <t>Instalaciones</t>
  </si>
  <si>
    <t xml:space="preserve">GL </t>
  </si>
  <si>
    <t>Mano de Obra</t>
  </si>
  <si>
    <t>SUB-TOTAL</t>
  </si>
  <si>
    <t>ARTUR - ANGIE</t>
  </si>
  <si>
    <t>2.) Estructura en concreto</t>
  </si>
  <si>
    <t>Zapatas 1.00m*1.00m h: .35m</t>
  </si>
  <si>
    <t xml:space="preserve">Concreto </t>
  </si>
  <si>
    <t>M3</t>
  </si>
  <si>
    <t xml:space="preserve">Acero </t>
  </si>
  <si>
    <t>KG</t>
  </si>
  <si>
    <t>Vigas de cimentación h: .25m</t>
  </si>
  <si>
    <t>x</t>
  </si>
  <si>
    <t>Placa de contrapiso e: .10m</t>
  </si>
  <si>
    <t>Malla de Acero y Plastico</t>
  </si>
  <si>
    <t>ROLL</t>
  </si>
  <si>
    <t>Concreto 25*25</t>
  </si>
  <si>
    <t>Testeros</t>
  </si>
  <si>
    <t>Vigas de entrepiso</t>
  </si>
  <si>
    <t>Concreto vigas</t>
  </si>
  <si>
    <t>Concreto viguetas</t>
  </si>
  <si>
    <t>Placa de entrepiso</t>
  </si>
  <si>
    <t xml:space="preserve">ROL </t>
  </si>
  <si>
    <t>Escaleras</t>
  </si>
  <si>
    <t>Vigas de Cubierta</t>
  </si>
  <si>
    <t>3.) Cubierta</t>
  </si>
  <si>
    <t>Cubierta</t>
  </si>
  <si>
    <t>Teja Ondulada P7 Fibrocemento No. 5</t>
  </si>
  <si>
    <t>UN</t>
  </si>
  <si>
    <t>Teja Ondulada P7 Fibrocemento No. 6</t>
  </si>
  <si>
    <t>Teja Ondulada P7 Fibrocemento No. 8</t>
  </si>
  <si>
    <t>Teja Ondulada P7 Fibrocemento No. 10</t>
  </si>
  <si>
    <t>Perfil C Negro 120X60 esp. 1.90 mm</t>
  </si>
  <si>
    <t>Ganchos Estándar Teja (100 und)</t>
  </si>
  <si>
    <t xml:space="preserve">Caballete Art Ondulado P7 </t>
  </si>
  <si>
    <t>Policarbonato</t>
  </si>
  <si>
    <t>M2</t>
  </si>
  <si>
    <t xml:space="preserve"> </t>
  </si>
  <si>
    <t>CANT. TOTAL</t>
  </si>
  <si>
    <t>NAT</t>
  </si>
  <si>
    <t>Primer y Segundo Piso</t>
  </si>
  <si>
    <t>Bloque No 5</t>
  </si>
  <si>
    <t>Remate Cubierta</t>
  </si>
  <si>
    <t>Ladrillo Macizo</t>
  </si>
  <si>
    <t>Primer Piso</t>
  </si>
  <si>
    <t xml:space="preserve">UN </t>
  </si>
  <si>
    <t>6.) Inst. Hidro-Sanitarias</t>
  </si>
  <si>
    <t>Accesorios</t>
  </si>
  <si>
    <t xml:space="preserve">Sifones </t>
  </si>
  <si>
    <t>Soldadura</t>
  </si>
  <si>
    <t>1/4 Galon</t>
  </si>
  <si>
    <t>Codos Sanitarios 4"</t>
  </si>
  <si>
    <t>Registros agua 3/4"</t>
  </si>
  <si>
    <t xml:space="preserve">Tanque de Agua </t>
  </si>
  <si>
    <t xml:space="preserve">Tanque 1000 L </t>
  </si>
  <si>
    <t>7.) Pañete</t>
  </si>
  <si>
    <t>DESPERDICIO</t>
  </si>
  <si>
    <t xml:space="preserve">Arena </t>
  </si>
  <si>
    <t>232.50</t>
  </si>
  <si>
    <t>0.05</t>
  </si>
  <si>
    <t>Cemento</t>
  </si>
  <si>
    <t>8.) Enchapes</t>
  </si>
  <si>
    <t>Piso baños</t>
  </si>
  <si>
    <t>Pared baños</t>
  </si>
  <si>
    <t>Piso cocina</t>
  </si>
  <si>
    <t>Pared cocina</t>
  </si>
  <si>
    <t>Piso sala comedor</t>
  </si>
  <si>
    <t>Piso alcoba principal</t>
  </si>
  <si>
    <t xml:space="preserve">Piso alcobas secundarias </t>
  </si>
  <si>
    <t>Piso hall</t>
  </si>
  <si>
    <t>Piso patio</t>
  </si>
  <si>
    <t>Pared patio</t>
  </si>
  <si>
    <t>Balcón</t>
  </si>
  <si>
    <t>Guardaescoba alcobas</t>
  </si>
  <si>
    <t>Guardaescoba baños</t>
  </si>
  <si>
    <t>Guardaescoba zonas sociales</t>
  </si>
  <si>
    <t>NOTA:</t>
  </si>
  <si>
    <t>EL VALOR DE MATERIAL PARA ENCHAPE SERÁ CUBIERTO POR EL CLIENTE, PUES ESTE VARIA DEPENDIENDO DEL ACABADO</t>
  </si>
  <si>
    <t xml:space="preserve">9.) Estuco  </t>
  </si>
  <si>
    <t>Estuco Interior</t>
  </si>
  <si>
    <t>Estuco Exterior</t>
  </si>
  <si>
    <t>ANGIE</t>
  </si>
  <si>
    <t>INCLUIDA MANO DE OBRA</t>
  </si>
  <si>
    <t>Eje 4 - Ventana sala 2.80m*1.80m</t>
  </si>
  <si>
    <t>Eje 3 - Ventana cocina 3.25m*1.80m</t>
  </si>
  <si>
    <t>Eje 2 - Ventana cocina 1.35m*1.80m</t>
  </si>
  <si>
    <t>Eje 2 - Ventana cocina 1.50m*1.80m</t>
  </si>
  <si>
    <t>Eje 1 - Ventana alcoba 2.45m*1.80m</t>
  </si>
  <si>
    <t>Eje 1 - Ventana escalera 2.10m*1.00m</t>
  </si>
  <si>
    <t>Eje B - Ventana garaje 4.00m*1.80m</t>
  </si>
  <si>
    <t>Eje D' - Ventana sala 0.70m*1.80m</t>
  </si>
  <si>
    <t>Eje E - Ventana baño 0.60m*0.50m</t>
  </si>
  <si>
    <t>Segundo Piso</t>
  </si>
  <si>
    <t>Eje 4 - 3 Ventana alcoba principal  2.80m*2.30m</t>
  </si>
  <si>
    <t>Eje 4 - 3 Ventana alcoba 2 3.00m*1.70m</t>
  </si>
  <si>
    <t>Eje 2 - Ventana hall 0.80m*1.85m</t>
  </si>
  <si>
    <t>Eje 2 - Ventana baño 1.35m*0.60m</t>
  </si>
  <si>
    <t>Eje 1 - Ventana baño principal 2.45m*1.30m</t>
  </si>
  <si>
    <t>Eje 1 - Ventana escalera 2.10m*2.30m</t>
  </si>
  <si>
    <t>Eje C - Ventana escalera 2.15m*2.30m</t>
  </si>
  <si>
    <t>Eje D' - Ventana alcoba principal 0.80m*1.40m</t>
  </si>
  <si>
    <t>Eje D' - Ventana alcoba principal 1.75m*1.40m</t>
  </si>
  <si>
    <t>Pintura Blanca</t>
  </si>
  <si>
    <t>Pintura Fachada</t>
  </si>
  <si>
    <t>Aparatos</t>
  </si>
  <si>
    <t xml:space="preserve">Griferia Monomando </t>
  </si>
  <si>
    <t>Mueble de cocina</t>
  </si>
  <si>
    <t>Cocina Integral con campana + estufa + horno</t>
  </si>
  <si>
    <t>Armarios</t>
  </si>
  <si>
    <t>Clóset Habitaciones Secundarias</t>
  </si>
  <si>
    <t>Costo por M2</t>
  </si>
  <si>
    <t>Exteriores</t>
  </si>
  <si>
    <t>Zona dura exterior</t>
  </si>
  <si>
    <t xml:space="preserve"> SUB-TOTAL</t>
  </si>
  <si>
    <t>TOTAL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</si>
  <si>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</si>
  <si>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</si>
  <si>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</si>
  <si>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</si>
  <si>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</si>
  <si>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</si>
  <si>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</si>
  <si>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</si>
  <si>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</si>
  <si>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</si>
  <si>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</si>
  <si>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</si>
  <si>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</si>
  <si>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L</t>
  </si>
  <si>
    <t>M</t>
  </si>
  <si>
    <t>J</t>
  </si>
  <si>
    <t>V</t>
  </si>
  <si>
    <t>D</t>
  </si>
  <si>
    <t>Excavación</t>
  </si>
  <si>
    <t>Replanteo de muros</t>
  </si>
  <si>
    <t>Mamposteria muros</t>
  </si>
  <si>
    <t>Semana 14</t>
  </si>
  <si>
    <t>Semana 15</t>
  </si>
  <si>
    <t>Semana 16</t>
  </si>
  <si>
    <t>Semana 17</t>
  </si>
  <si>
    <t>Semana 18</t>
  </si>
  <si>
    <t>Semana 19</t>
  </si>
  <si>
    <t>Semana 20</t>
  </si>
  <si>
    <t>Semana 21</t>
  </si>
  <si>
    <t>Semana 22</t>
  </si>
  <si>
    <t>Pañete de muros</t>
  </si>
  <si>
    <t>ANÁLISIS DE PRECIOS UNITARIOS</t>
  </si>
  <si>
    <t>Descripción</t>
  </si>
  <si>
    <t>ANDEN ADOQUIN DE GRES</t>
  </si>
  <si>
    <t>1. MATERIALES</t>
  </si>
  <si>
    <t>DESCRIPCIÓN</t>
  </si>
  <si>
    <t>CANTIDAD</t>
  </si>
  <si>
    <t>VALOR UNITARIO</t>
  </si>
  <si>
    <t>2. MANO DE OBRA</t>
  </si>
  <si>
    <t>OFICIAL</t>
  </si>
  <si>
    <t>3. EQUIPOS Y TRANSPORTES</t>
  </si>
  <si>
    <t>Tubo x 6m</t>
  </si>
  <si>
    <t>X</t>
  </si>
  <si>
    <t>VOL. TOTAL</t>
  </si>
  <si>
    <t>VOL. UN</t>
  </si>
  <si>
    <t>Columnas</t>
  </si>
  <si>
    <t>ÁREA VIVIENDA</t>
  </si>
  <si>
    <t>135 M2</t>
  </si>
  <si>
    <t>VALOR METRO CUADRADO</t>
  </si>
  <si>
    <t>ML</t>
  </si>
  <si>
    <t>Barandales</t>
  </si>
  <si>
    <t xml:space="preserve">Gas </t>
  </si>
  <si>
    <t>133,35 m2</t>
  </si>
  <si>
    <r>
      <rPr>
        <b/>
        <sz val="12"/>
        <color theme="1"/>
        <rFont val="Swis721 LtCn BT"/>
        <family val="2"/>
      </rPr>
      <t>ELABORÓ:</t>
    </r>
    <r>
      <rPr>
        <sz val="12"/>
        <color theme="1"/>
        <rFont val="Swis721 LtCn BT"/>
        <family val="2"/>
      </rPr>
      <t xml:space="preserve">  </t>
    </r>
    <r>
      <rPr>
        <b/>
        <sz val="12"/>
        <color theme="1"/>
        <rFont val="Swis721 LtCn BT"/>
        <family val="2"/>
      </rPr>
      <t xml:space="preserve">    </t>
    </r>
    <r>
      <rPr>
        <sz val="12"/>
        <color theme="1"/>
        <rFont val="Swis721 LtCn BT"/>
        <family val="2"/>
      </rPr>
      <t xml:space="preserve"> </t>
    </r>
  </si>
  <si>
    <t xml:space="preserve">Recebado y compactación </t>
  </si>
  <si>
    <t>1.1</t>
  </si>
  <si>
    <t>1.2</t>
  </si>
  <si>
    <t>1.3</t>
  </si>
  <si>
    <t>1.4</t>
  </si>
  <si>
    <t>1.5</t>
  </si>
  <si>
    <t>1.6</t>
  </si>
  <si>
    <t>2.1</t>
  </si>
  <si>
    <t>2.2</t>
  </si>
  <si>
    <t>2.3</t>
  </si>
  <si>
    <t>2.4</t>
  </si>
  <si>
    <t>2.5</t>
  </si>
  <si>
    <t>2.6</t>
  </si>
  <si>
    <t>2.7</t>
  </si>
  <si>
    <t>2.8</t>
  </si>
  <si>
    <t>3.1</t>
  </si>
  <si>
    <t>4.1</t>
  </si>
  <si>
    <t>4.2</t>
  </si>
  <si>
    <t>5.1</t>
  </si>
  <si>
    <t>6.1</t>
  </si>
  <si>
    <t>6.2</t>
  </si>
  <si>
    <t>7.1</t>
  </si>
  <si>
    <t>8.1</t>
  </si>
  <si>
    <t>9.1</t>
  </si>
  <si>
    <t>10.1</t>
  </si>
  <si>
    <t>10.2</t>
  </si>
  <si>
    <t>13.1</t>
  </si>
  <si>
    <t>Adoquin</t>
  </si>
  <si>
    <t>Portón corredizo con sistema eléctrico y dos controles</t>
  </si>
  <si>
    <t>Cimentación y cerramiento en mampostería h:.80 cm</t>
  </si>
  <si>
    <t>ITEMS EXCLUIDOS</t>
  </si>
  <si>
    <t>Mano de obra y material para instalaciones eléctricas</t>
  </si>
  <si>
    <t>Puertas en carpintería metálica</t>
  </si>
  <si>
    <t>Puertas en carpintería madera</t>
  </si>
  <si>
    <t>Material para cielorasos en PVC</t>
  </si>
  <si>
    <t>Material para enchape de pisos</t>
  </si>
  <si>
    <t>4.) Mampostería</t>
  </si>
  <si>
    <t>10.) Carpinteria Metálica</t>
  </si>
  <si>
    <t>Calentador Eléctrico 10lts bifásico</t>
  </si>
  <si>
    <t xml:space="preserve">Tubería Sanitaria 4" </t>
  </si>
  <si>
    <t>Pérgola de Balcón</t>
  </si>
  <si>
    <t>División sencilla</t>
  </si>
  <si>
    <t>División esquinera o en L baño principal</t>
  </si>
  <si>
    <t xml:space="preserve">Tubería Hidráulica 3/4" </t>
  </si>
  <si>
    <t>Aparatos y accesorios para baños</t>
  </si>
  <si>
    <t>Sanitarias - Pozo séptico</t>
  </si>
  <si>
    <t>Hidráulicas - Pozo de aguas lluvias</t>
  </si>
  <si>
    <t>Accesorios Sanitarios: Codos, Tes y Y</t>
  </si>
  <si>
    <t>Accesorios Hidráulicos: Codos, Tes y Y</t>
  </si>
  <si>
    <t>Instalación de tuberias y accesorios</t>
  </si>
  <si>
    <t>Clóset Habitación Principal</t>
  </si>
  <si>
    <t>Armarios para licorera y mueble de sala: Varia según diseño</t>
  </si>
  <si>
    <t>Chimenea</t>
  </si>
  <si>
    <t>Cerramiento en ornamentación con diseño de reja</t>
  </si>
  <si>
    <t xml:space="preserve">Lavadero 1,00*1,00 brillante blanco </t>
  </si>
  <si>
    <t xml:space="preserve"> PRESUPUESTO DE OBRA</t>
  </si>
  <si>
    <t>ASESORÍA (3 %)</t>
  </si>
  <si>
    <t>11.) Pintura</t>
  </si>
  <si>
    <t>11.1</t>
  </si>
  <si>
    <t>12.) Aparatos Hidrosanitarios</t>
  </si>
  <si>
    <t>12.1</t>
  </si>
  <si>
    <t>13.) Mueble Cocina</t>
  </si>
  <si>
    <t>14.) Armarios</t>
  </si>
  <si>
    <t>14.1</t>
  </si>
  <si>
    <t>15.) Mano de Obra</t>
  </si>
  <si>
    <t>15.1</t>
  </si>
  <si>
    <t>16.1</t>
  </si>
  <si>
    <t>17.) Cerramiento</t>
  </si>
  <si>
    <t>17.1</t>
  </si>
  <si>
    <t>16) Exterior</t>
  </si>
  <si>
    <t>5.) Inst. Eléctri-cas</t>
  </si>
  <si>
    <t>Codos Sanitarios 2"</t>
  </si>
  <si>
    <t xml:space="preserve">ITEM </t>
  </si>
  <si>
    <t>Cerramiento</t>
  </si>
  <si>
    <t>Pozo séptico</t>
  </si>
  <si>
    <t>Pozo de aguas lluvias</t>
  </si>
  <si>
    <t>Cajas de inspección</t>
  </si>
  <si>
    <t>Nivelación</t>
  </si>
  <si>
    <t xml:space="preserve">Armadura cimentación </t>
  </si>
  <si>
    <t>Fundición cimentación</t>
  </si>
  <si>
    <t xml:space="preserve">Recebo y compactación </t>
  </si>
  <si>
    <t xml:space="preserve">Placa de contrapiso </t>
  </si>
  <si>
    <t>Armado para columnas primer nivel</t>
  </si>
  <si>
    <t>Fundición de columnas primer nivel</t>
  </si>
  <si>
    <t>Desencofrado de columnas primer nivel</t>
  </si>
  <si>
    <t>Armado para Vigas de entrepiso</t>
  </si>
  <si>
    <t>Fundición de Vigas de entrepiso</t>
  </si>
  <si>
    <t>Desencofrado de Vigas de entrepiso</t>
  </si>
  <si>
    <t>Armado para columnas segundo nivel</t>
  </si>
  <si>
    <t>Fundición de columnas segundo nivel</t>
  </si>
  <si>
    <t>Desencofrado de columnas segundo nivel</t>
  </si>
  <si>
    <t>Armado de Vigas de Cubierta</t>
  </si>
  <si>
    <t>Fundición de Vigas de Cubierta</t>
  </si>
  <si>
    <t>Desencofrado de  Vigas de Cubierta</t>
  </si>
  <si>
    <t>Armado para escaleras</t>
  </si>
  <si>
    <t>Fundición de escaleras</t>
  </si>
  <si>
    <t>Ubicación de Instalaciones subterráneas</t>
  </si>
  <si>
    <t xml:space="preserve">Instalación de canales </t>
  </si>
  <si>
    <t>Estructura de cubierta</t>
  </si>
  <si>
    <t xml:space="preserve">Instalación de tejas </t>
  </si>
  <si>
    <t>Instalación de cielorasos en PVC</t>
  </si>
  <si>
    <t xml:space="preserve">Carpintería metálica </t>
  </si>
  <si>
    <t>Afinado de pisos</t>
  </si>
  <si>
    <t>Carpintería madera</t>
  </si>
  <si>
    <t>Instalaciones eléctricas</t>
  </si>
  <si>
    <t>Instalaciones hidrosanitarias</t>
  </si>
  <si>
    <t>Instalaciones de gas</t>
  </si>
  <si>
    <t xml:space="preserve">Enchape para pisos </t>
  </si>
  <si>
    <t>Enchape para paredes</t>
  </si>
  <si>
    <t xml:space="preserve">Instalación de aparatos sanitarios </t>
  </si>
  <si>
    <t xml:space="preserve">Instalación de muebles cocina </t>
  </si>
  <si>
    <t>Instalación de clóset</t>
  </si>
  <si>
    <t>Andenes y zonas duras</t>
  </si>
  <si>
    <t>Ornamentación exterior</t>
  </si>
  <si>
    <t>Cerramiento y puerta eléctrica</t>
  </si>
  <si>
    <t>ACTIVIDADES</t>
  </si>
  <si>
    <t>ENTREGA Y RECIBO DE OBRA</t>
  </si>
  <si>
    <t>Estuco de muros</t>
  </si>
  <si>
    <t>DICIEMBRE</t>
  </si>
  <si>
    <t>ENERO</t>
  </si>
  <si>
    <t>FEBRERO</t>
  </si>
  <si>
    <t>MARZO</t>
  </si>
  <si>
    <t>ABRIL</t>
  </si>
  <si>
    <t xml:space="preserve">S </t>
  </si>
  <si>
    <t>PROGRAMACIÓN DE OBRA GENERAL - VIVIENDA MULTIFAMILIAR BOULEVARD DE LOS SUEÑOS</t>
  </si>
  <si>
    <t>ANEXO 3. PROGRAMACIÓN DE OBRA GENERAL - VIVIENDA MULTIFAMILIAR BOULEVARD DE LOS SUEÑOS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</si>
</sst>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4" formatCode="_-&quot;$&quot;\ * #,##0.00_-;\-&quot;$&quot;\ * #,##0.00_-;_-&quot;$&quot;\ * &quot;-&quot;??_-;_-@_-"/>
    <numFmt numFmtId="164" formatCode="_-* #,##0_-;\-* #,##0_-;_-* &quot;-&quot;_-;_-@"/>
    <numFmt numFmtId="165" formatCode="d/m/yyyy"/>
    <numFmt numFmtId="166" formatCode="d\.m"/>
    <numFmt numFmtId="167" formatCode="&quot;$&quot;#,##0"/>
    <numFmt numFmtId="168" formatCode="_-* #,##0.00_-;\-* #,##0.00_-;_-* &quot;-&quot;_-;_-@"/>
    <numFmt numFmtId="169" formatCode="&quot;$&quot;\ #,##0.00"/>
    <numFmt numFmtId="170" formatCode="_-&quot;$&quot;\ * #,##0_-;\-&quot;$&quot;\ * #,##0_-;_-&quot;$&quot;\ * &quot;-&quot;_-;_-@"/>
    <numFmt numFmtId="171" formatCode="_-&quot;$&quot;\ * #,##0.00_-;\-&quot;$&quot;\ * #,##0.00_-;_-&quot;$&quot;\ * &quot;-&quot;??_-;_-@"/>
    <numFmt numFmtId="172" formatCode="_(&quot;$&quot;\ * #,##0.00_);_(&quot;$&quot;\ * \(#,##0.00\);_(&quot;$&quot;\ * &quot;-&quot;??_);_(@_)"/>
    <numFmt numFmtId="173" formatCode="&quot;$&quot;\ #,##0"/>
  </numFmts>
  <fonts count="22" x14ac:knownFonts="1">
    <font>
      <sz val="11"/>
      <color theme="1"/>
      <name val="Calibri"/>
      <scheme val="minor"/>
    </font>
    <font>
      <sz val="11"/>
      <color theme="1"/>
      <name val="Yu Gothic"/>
      <family val="2"/>
    </font>
    <font>
      <sz val="11"/>
      <color theme="1"/>
      <name val="Calibri"/>
      <family val="2"/>
      <scheme val="minor"/>
    </font>
    <font>
      <sz val="11"/>
      <color theme="1"/>
      <name val="Yu gothic"/>
      <family val="2"/>
    </font>
    <font>
      <b/>
      <sz val="11"/>
      <color theme="1"/>
      <name val="Yu Gothic"/>
      <family val="2"/>
    </font>
    <font>
      <b/>
      <sz val="12"/>
      <color theme="1"/>
      <name val="Swis721 LtCn BT"/>
      <family val="2"/>
    </font>
    <font>
      <sz val="12"/>
      <name val="Swis721 LtCn BT"/>
      <family val="2"/>
    </font>
    <font>
      <sz val="12"/>
      <color theme="1"/>
      <name val="Swis721 LtCn BT"/>
      <family val="2"/>
    </font>
    <font>
      <sz val="11"/>
      <color theme="1"/>
      <name val="Swis721 LtCn BT"/>
      <family val="2"/>
    </font>
    <font>
      <sz val="11"/>
      <name val="Swis721 LtCn BT"/>
      <family val="2"/>
    </font>
    <font>
      <b/>
      <sz val="11"/>
      <color theme="1"/>
      <name val="Swis721 LtCn BT"/>
      <family val="2"/>
    </font>
    <font>
      <b/>
      <sz val="11"/>
      <color rgb="FFFFFFFF"/>
      <name val="Swis721 LtCn BT"/>
      <family val="2"/>
    </font>
    <font>
      <b/>
      <sz val="11"/>
      <color theme="0"/>
      <name val="Swis721 LtCn BT"/>
      <family val="2"/>
    </font>
    <font>
      <sz val="11"/>
      <color theme="0"/>
      <name val="Swis721 LtCn BT"/>
      <family val="2"/>
    </font>
    <font>
      <b/>
      <sz val="11"/>
      <color rgb="FF000000"/>
      <name val="Swis721 LtCn BT"/>
      <family val="2"/>
    </font>
    <font>
      <b/>
      <sz val="11"/>
      <name val="Swis721 LtCn BT"/>
      <family val="2"/>
    </font>
    <font>
      <u/>
      <sz val="11"/>
      <color theme="1"/>
      <name val="Swis721 LtCn BT"/>
      <family val="2"/>
    </font>
    <font>
      <sz val="11"/>
      <color theme="0"/>
      <name val="Yu Gothic"/>
      <family val="2"/>
    </font>
    <font>
      <sz val="11"/>
      <name val="Calibri"/>
      <family val="2"/>
    </font>
    <font>
      <b/>
      <sz val="11"/>
      <color theme="0"/>
      <name val="Yu Gothic"/>
      <family val="2"/>
    </font>
    <font>
      <sz val="11"/>
      <color rgb="FFFF0000"/>
      <name val="Swis721 LtCn BT"/>
      <family val="2"/>
    </font>
    <font>
      <sz val="11"/>
      <color rgb="FFFFFF99"/>
      <name val="Swis721 LtCn BT"/>
      <family val="2"/>
    </font>
  </fonts>
  <fills count="34">
    <fill>
      <patternFill patternType="none"/>
    </fill>
    <fill>
      <patternFill patternType="gray125"/>
    </fill>
    <fill>
      <patternFill patternType="solid">
        <fgColor rgb="FFFFC000"/>
        <bgColor rgb="FFFFC000"/>
      </patternFill>
    </fill>
    <fill>
      <patternFill patternType="solid">
        <fgColor rgb="FFCFE2F3"/>
        <bgColor rgb="FFCFE2F3"/>
      </patternFill>
    </fill>
    <fill>
      <patternFill patternType="solid">
        <fgColor theme="0"/>
        <bgColor theme="0"/>
      </patternFill>
    </fill>
    <fill>
      <patternFill patternType="solid">
        <fgColor rgb="FFFF0000"/>
        <bgColor rgb="FFFF0000"/>
      </patternFill>
    </fill>
    <fill>
      <patternFill patternType="solid">
        <fgColor rgb="FFFEF2CB"/>
        <bgColor rgb="FFFEF2CB"/>
      </patternFill>
    </fill>
    <fill>
      <patternFill patternType="solid">
        <fgColor rgb="FF92D050"/>
        <bgColor rgb="FF92D050"/>
      </patternFill>
    </fill>
    <fill>
      <patternFill patternType="solid">
        <fgColor rgb="FFFFFFFF"/>
        <bgColor rgb="FFFFFFFF"/>
      </patternFill>
    </fill>
    <fill>
      <patternFill patternType="solid">
        <fgColor rgb="FFF4CCCC"/>
        <bgColor rgb="FFF4CCCC"/>
      </patternFill>
    </fill>
    <fill>
      <patternFill patternType="solid">
        <fgColor rgb="FF002060"/>
        <bgColor rgb="FF002060"/>
      </patternFill>
    </fill>
    <fill>
      <patternFill patternType="solid">
        <fgColor rgb="FFFBE4D5"/>
        <bgColor rgb="FFFBE4D5"/>
      </patternFill>
    </fill>
    <fill>
      <patternFill patternType="solid">
        <fgColor theme="0"/>
        <bgColor rgb="FFFEF2CB"/>
      </patternFill>
    </fill>
    <fill>
      <patternFill patternType="solid">
        <fgColor theme="2"/>
        <bgColor rgb="FFFEF2CB"/>
      </patternFill>
    </fill>
    <fill>
      <patternFill patternType="solid">
        <fgColor theme="2"/>
        <bgColor indexed="64"/>
      </patternFill>
    </fill>
    <fill>
      <patternFill patternType="solid">
        <fgColor theme="2"/>
        <bgColor rgb="FFFFFFFF"/>
      </patternFill>
    </fill>
    <fill>
      <patternFill patternType="solid">
        <fgColor rgb="FF66FF6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79998168889431442"/>
        <bgColor rgb="FF002060"/>
      </patternFill>
    </fill>
    <fill>
      <patternFill patternType="solid">
        <fgColor theme="7" tint="0.79998168889431442"/>
        <bgColor rgb="FFA40000"/>
      </patternFill>
    </fill>
    <fill>
      <patternFill patternType="solid">
        <fgColor theme="0"/>
        <bgColor rgb="FF002060"/>
      </patternFill>
    </fill>
    <fill>
      <patternFill patternType="solid">
        <fgColor theme="0"/>
        <bgColor rgb="FFA40000"/>
      </patternFill>
    </fill>
    <fill>
      <patternFill patternType="solid">
        <fgColor theme="0"/>
        <bgColor rgb="FF1F3864"/>
      </patternFill>
    </fill>
    <fill>
      <patternFill patternType="solid">
        <fgColor rgb="FFC00000"/>
        <bgColor rgb="FF002060"/>
      </patternFill>
    </fill>
    <fill>
      <patternFill patternType="solid">
        <fgColor rgb="FFC00000"/>
        <bgColor rgb="FFA40000"/>
      </patternFill>
    </fill>
    <fill>
      <patternFill patternType="solid">
        <fgColor rgb="FFC00000"/>
        <bgColor indexed="64"/>
      </patternFill>
    </fill>
    <fill>
      <patternFill patternType="solid">
        <fgColor rgb="FFC00000"/>
        <bgColor theme="0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59999389629810485"/>
        <bgColor rgb="FFA40000"/>
      </patternFill>
    </fill>
    <fill>
      <patternFill patternType="solid">
        <fgColor theme="4" tint="0.59999389629810485"/>
        <bgColor rgb="FF1F3864"/>
      </patternFill>
    </fill>
    <fill>
      <patternFill patternType="solid">
        <fgColor theme="4" tint="0.59999389629810485"/>
        <bgColor theme="0"/>
      </patternFill>
    </fill>
  </fills>
  <borders count="24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/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243">
    <xf numFmtId="0" fontId="0" fillId="0" borderId="0" xfId="0" applyFont="1" applyAlignment="1"/>
    <xf numFmtId="0" fontId="1" fillId="0" borderId="0" xfId="0" applyFont="1"/>
    <xf numFmtId="171" fontId="1" fillId="0" borderId="0" xfId="0" applyNumberFormat="1" applyFont="1"/>
    <xf numFmtId="0" fontId="5" fillId="4" borderId="6" xfId="0" applyFont="1" applyFill="1" applyBorder="1" applyAlignment="1">
      <alignment vertical="center"/>
    </xf>
    <xf numFmtId="0" fontId="4" fillId="0" borderId="1" xfId="0" applyFont="1" applyBorder="1" applyAlignment="1">
      <alignment vertical="center"/>
    </xf>
    <xf numFmtId="0" fontId="3" fillId="0" borderId="1" xfId="0" applyFont="1" applyBorder="1" applyAlignment="1">
      <alignment vertical="center" wrapText="1"/>
    </xf>
    <xf numFmtId="0" fontId="3" fillId="4" borderId="1" xfId="0" applyFont="1" applyFill="1" applyBorder="1" applyAlignment="1">
      <alignment horizontal="center" vertical="center" wrapText="1"/>
    </xf>
    <xf numFmtId="4" fontId="3" fillId="0" borderId="1" xfId="0" applyNumberFormat="1" applyFont="1" applyBorder="1" applyAlignment="1">
      <alignment horizontal="left" vertical="center"/>
    </xf>
    <xf numFmtId="4" fontId="3" fillId="0" borderId="1" xfId="0" applyNumberFormat="1" applyFont="1" applyBorder="1" applyAlignment="1">
      <alignment horizontal="center" vertical="center"/>
    </xf>
    <xf numFmtId="171" fontId="3" fillId="4" borderId="1" xfId="0" applyNumberFormat="1" applyFont="1" applyFill="1" applyBorder="1" applyAlignment="1">
      <alignment horizontal="right" vertical="center" wrapText="1"/>
    </xf>
    <xf numFmtId="172" fontId="3" fillId="0" borderId="1" xfId="0" applyNumberFormat="1" applyFont="1" applyBorder="1" applyAlignment="1">
      <alignment horizontal="center" vertical="center"/>
    </xf>
    <xf numFmtId="172" fontId="4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3" fontId="3" fillId="4" borderId="1" xfId="0" applyNumberFormat="1" applyFont="1" applyFill="1" applyBorder="1" applyAlignment="1">
      <alignment horizontal="right" vertical="center" wrapText="1"/>
    </xf>
    <xf numFmtId="0" fontId="3" fillId="4" borderId="1" xfId="0" applyFont="1" applyFill="1" applyBorder="1" applyAlignment="1">
      <alignment horizontal="right" vertical="center" wrapText="1"/>
    </xf>
    <xf numFmtId="0" fontId="3" fillId="0" borderId="1" xfId="0" applyFont="1" applyBorder="1"/>
    <xf numFmtId="0" fontId="3" fillId="4" borderId="1" xfId="0" applyFont="1" applyFill="1" applyBorder="1"/>
    <xf numFmtId="0" fontId="4" fillId="4" borderId="1" xfId="0" applyFont="1" applyFill="1" applyBorder="1" applyAlignment="1">
      <alignment horizontal="right"/>
    </xf>
    <xf numFmtId="171" fontId="4" fillId="4" borderId="1" xfId="0" applyNumberFormat="1" applyFont="1" applyFill="1" applyBorder="1"/>
    <xf numFmtId="0" fontId="3" fillId="0" borderId="0" xfId="0" applyFont="1"/>
    <xf numFmtId="171" fontId="3" fillId="0" borderId="0" xfId="0" applyNumberFormat="1" applyFont="1"/>
    <xf numFmtId="166" fontId="10" fillId="0" borderId="6" xfId="0" applyNumberFormat="1" applyFont="1" applyBorder="1" applyAlignment="1">
      <alignment horizontal="center" vertical="center"/>
    </xf>
    <xf numFmtId="0" fontId="10" fillId="0" borderId="6" xfId="0" applyFont="1" applyBorder="1" applyAlignment="1">
      <alignment vertical="center"/>
    </xf>
    <xf numFmtId="0" fontId="8" fillId="0" borderId="6" xfId="0" applyFont="1" applyBorder="1" applyAlignment="1">
      <alignment horizontal="center" vertical="center"/>
    </xf>
    <xf numFmtId="2" fontId="8" fillId="0" borderId="6" xfId="0" applyNumberFormat="1" applyFont="1" applyBorder="1" applyAlignment="1">
      <alignment horizontal="center" vertical="center"/>
    </xf>
    <xf numFmtId="0" fontId="8" fillId="4" borderId="6" xfId="0" applyFont="1" applyFill="1" applyBorder="1" applyAlignment="1">
      <alignment horizontal="center" vertical="center"/>
    </xf>
    <xf numFmtId="167" fontId="8" fillId="14" borderId="6" xfId="0" applyNumberFormat="1" applyFont="1" applyFill="1" applyBorder="1" applyAlignment="1">
      <alignment vertical="center"/>
    </xf>
    <xf numFmtId="167" fontId="8" fillId="0" borderId="6" xfId="0" applyNumberFormat="1" applyFont="1" applyBorder="1" applyAlignment="1">
      <alignment vertical="center"/>
    </xf>
    <xf numFmtId="167" fontId="10" fillId="0" borderId="6" xfId="0" applyNumberFormat="1" applyFont="1" applyBorder="1" applyAlignment="1">
      <alignment vertical="center"/>
    </xf>
    <xf numFmtId="0" fontId="10" fillId="0" borderId="6" xfId="0" applyFont="1" applyBorder="1" applyAlignment="1">
      <alignment horizontal="left" vertical="center"/>
    </xf>
    <xf numFmtId="173" fontId="8" fillId="0" borderId="6" xfId="1" applyNumberFormat="1" applyFont="1" applyBorder="1" applyAlignment="1">
      <alignment vertical="center"/>
    </xf>
    <xf numFmtId="0" fontId="8" fillId="3" borderId="3" xfId="0" applyFont="1" applyFill="1" applyBorder="1" applyAlignment="1">
      <alignment horizontal="center" vertical="center"/>
    </xf>
    <xf numFmtId="0" fontId="8" fillId="0" borderId="3" xfId="0" applyFont="1" applyBorder="1" applyAlignment="1">
      <alignment vertical="center"/>
    </xf>
    <xf numFmtId="164" fontId="8" fillId="0" borderId="3" xfId="0" applyNumberFormat="1" applyFont="1" applyBorder="1" applyAlignment="1">
      <alignment vertical="center"/>
    </xf>
    <xf numFmtId="0" fontId="8" fillId="0" borderId="3" xfId="0" applyFont="1" applyBorder="1" applyAlignment="1"/>
    <xf numFmtId="0" fontId="5" fillId="0" borderId="3" xfId="0" applyFont="1" applyBorder="1" applyAlignment="1">
      <alignment vertical="center"/>
    </xf>
    <xf numFmtId="164" fontId="5" fillId="0" borderId="3" xfId="0" applyNumberFormat="1" applyFont="1" applyBorder="1" applyAlignment="1">
      <alignment vertical="center"/>
    </xf>
    <xf numFmtId="0" fontId="7" fillId="0" borderId="3" xfId="0" applyFont="1" applyBorder="1" applyAlignment="1">
      <alignment vertical="center"/>
    </xf>
    <xf numFmtId="164" fontId="7" fillId="0" borderId="3" xfId="0" applyNumberFormat="1" applyFont="1" applyBorder="1" applyAlignment="1">
      <alignment horizontal="left" vertical="center"/>
    </xf>
    <xf numFmtId="0" fontId="7" fillId="0" borderId="3" xfId="0" applyFont="1" applyBorder="1" applyAlignment="1">
      <alignment horizontal="left" vertical="center"/>
    </xf>
    <xf numFmtId="164" fontId="7" fillId="0" borderId="3" xfId="0" applyNumberFormat="1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10" fillId="0" borderId="3" xfId="0" applyFont="1" applyBorder="1" applyAlignment="1">
      <alignment horizontal="left" vertical="center"/>
    </xf>
    <xf numFmtId="164" fontId="7" fillId="0" borderId="3" xfId="0" applyNumberFormat="1" applyFont="1" applyBorder="1" applyAlignment="1">
      <alignment vertical="center"/>
    </xf>
    <xf numFmtId="167" fontId="8" fillId="0" borderId="3" xfId="0" applyNumberFormat="1" applyFont="1" applyBorder="1" applyAlignment="1">
      <alignment vertical="center"/>
    </xf>
    <xf numFmtId="10" fontId="8" fillId="7" borderId="3" xfId="0" applyNumberFormat="1" applyFont="1" applyFill="1" applyBorder="1" applyAlignment="1">
      <alignment horizontal="center" vertical="center"/>
    </xf>
    <xf numFmtId="0" fontId="10" fillId="0" borderId="3" xfId="0" applyFont="1" applyBorder="1" applyAlignment="1">
      <alignment vertical="center"/>
    </xf>
    <xf numFmtId="0" fontId="8" fillId="0" borderId="3" xfId="0" applyFont="1" applyBorder="1" applyAlignment="1">
      <alignment horizontal="center" vertical="center"/>
    </xf>
    <xf numFmtId="168" fontId="8" fillId="0" borderId="3" xfId="0" applyNumberFormat="1" applyFont="1" applyBorder="1" applyAlignment="1">
      <alignment vertical="center"/>
    </xf>
    <xf numFmtId="0" fontId="8" fillId="7" borderId="3" xfId="0" applyFont="1" applyFill="1" applyBorder="1" applyAlignment="1">
      <alignment horizontal="center" vertical="center"/>
    </xf>
    <xf numFmtId="2" fontId="8" fillId="6" borderId="3" xfId="0" applyNumberFormat="1" applyFont="1" applyFill="1" applyBorder="1" applyAlignment="1">
      <alignment horizontal="center" vertical="center"/>
    </xf>
    <xf numFmtId="169" fontId="8" fillId="0" borderId="3" xfId="0" applyNumberFormat="1" applyFont="1" applyBorder="1" applyAlignment="1">
      <alignment vertical="center"/>
    </xf>
    <xf numFmtId="0" fontId="16" fillId="0" borderId="3" xfId="0" applyFont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2" fontId="10" fillId="12" borderId="6" xfId="0" applyNumberFormat="1" applyFont="1" applyFill="1" applyBorder="1" applyAlignment="1">
      <alignment horizontal="center" vertical="center"/>
    </xf>
    <xf numFmtId="0" fontId="8" fillId="12" borderId="6" xfId="0" applyFont="1" applyFill="1" applyBorder="1" applyAlignment="1">
      <alignment horizontal="center" vertical="center"/>
    </xf>
    <xf numFmtId="167" fontId="8" fillId="12" borderId="6" xfId="0" applyNumberFormat="1" applyFont="1" applyFill="1" applyBorder="1" applyAlignment="1">
      <alignment vertical="center"/>
    </xf>
    <xf numFmtId="0" fontId="10" fillId="12" borderId="6" xfId="0" applyFont="1" applyFill="1" applyBorder="1" applyAlignment="1">
      <alignment vertical="center"/>
    </xf>
    <xf numFmtId="0" fontId="10" fillId="12" borderId="6" xfId="0" applyFont="1" applyFill="1" applyBorder="1" applyAlignment="1">
      <alignment horizontal="left" vertical="center"/>
    </xf>
    <xf numFmtId="0" fontId="10" fillId="12" borderId="6" xfId="0" applyFont="1" applyFill="1" applyBorder="1" applyAlignment="1">
      <alignment horizontal="center" vertical="center"/>
    </xf>
    <xf numFmtId="167" fontId="10" fillId="12" borderId="6" xfId="0" applyNumberFormat="1" applyFont="1" applyFill="1" applyBorder="1" applyAlignment="1">
      <alignment vertical="center"/>
    </xf>
    <xf numFmtId="0" fontId="10" fillId="13" borderId="6" xfId="0" applyFont="1" applyFill="1" applyBorder="1" applyAlignment="1">
      <alignment horizontal="center" vertical="center"/>
    </xf>
    <xf numFmtId="0" fontId="10" fillId="13" borderId="6" xfId="0" applyFont="1" applyFill="1" applyBorder="1" applyAlignment="1">
      <alignment horizontal="left" vertical="center"/>
    </xf>
    <xf numFmtId="0" fontId="8" fillId="13" borderId="6" xfId="0" applyFont="1" applyFill="1" applyBorder="1" applyAlignment="1">
      <alignment horizontal="center" vertical="center"/>
    </xf>
    <xf numFmtId="4" fontId="8" fillId="13" borderId="6" xfId="0" applyNumberFormat="1" applyFont="1" applyFill="1" applyBorder="1" applyAlignment="1">
      <alignment horizontal="center" vertical="center"/>
    </xf>
    <xf numFmtId="167" fontId="8" fillId="13" borderId="6" xfId="0" applyNumberFormat="1" applyFont="1" applyFill="1" applyBorder="1" applyAlignment="1">
      <alignment vertical="center"/>
    </xf>
    <xf numFmtId="0" fontId="10" fillId="14" borderId="6" xfId="0" applyFont="1" applyFill="1" applyBorder="1" applyAlignment="1">
      <alignment horizontal="center" vertical="center"/>
    </xf>
    <xf numFmtId="0" fontId="10" fillId="14" borderId="6" xfId="0" applyFont="1" applyFill="1" applyBorder="1" applyAlignment="1">
      <alignment horizontal="left" vertical="center"/>
    </xf>
    <xf numFmtId="0" fontId="8" fillId="14" borderId="6" xfId="0" applyFont="1" applyFill="1" applyBorder="1" applyAlignment="1">
      <alignment horizontal="center" vertical="center"/>
    </xf>
    <xf numFmtId="2" fontId="8" fillId="14" borderId="6" xfId="0" applyNumberFormat="1" applyFont="1" applyFill="1" applyBorder="1" applyAlignment="1">
      <alignment horizontal="center" vertical="center"/>
    </xf>
    <xf numFmtId="167" fontId="10" fillId="13" borderId="6" xfId="0" applyNumberFormat="1" applyFont="1" applyFill="1" applyBorder="1" applyAlignment="1">
      <alignment vertical="center"/>
    </xf>
    <xf numFmtId="0" fontId="10" fillId="8" borderId="6" xfId="0" applyFont="1" applyFill="1" applyBorder="1" applyAlignment="1">
      <alignment horizontal="center" vertical="center"/>
    </xf>
    <xf numFmtId="0" fontId="10" fillId="8" borderId="6" xfId="0" applyFont="1" applyFill="1" applyBorder="1" applyAlignment="1">
      <alignment vertical="center"/>
    </xf>
    <xf numFmtId="0" fontId="10" fillId="8" borderId="6" xfId="0" applyFont="1" applyFill="1" applyBorder="1" applyAlignment="1">
      <alignment horizontal="left" vertical="center"/>
    </xf>
    <xf numFmtId="0" fontId="8" fillId="8" borderId="6" xfId="0" applyFont="1" applyFill="1" applyBorder="1" applyAlignment="1">
      <alignment horizontal="center" vertical="center"/>
    </xf>
    <xf numFmtId="2" fontId="8" fillId="8" borderId="6" xfId="0" applyNumberFormat="1" applyFont="1" applyFill="1" applyBorder="1" applyAlignment="1">
      <alignment horizontal="center" vertical="center"/>
    </xf>
    <xf numFmtId="167" fontId="8" fillId="8" borderId="6" xfId="0" applyNumberFormat="1" applyFont="1" applyFill="1" applyBorder="1" applyAlignment="1">
      <alignment vertical="center"/>
    </xf>
    <xf numFmtId="0" fontId="10" fillId="8" borderId="6" xfId="0" applyFont="1" applyFill="1" applyBorder="1" applyAlignment="1">
      <alignment horizontal="left" vertical="center" wrapText="1"/>
    </xf>
    <xf numFmtId="0" fontId="10" fillId="8" borderId="6" xfId="0" applyFont="1" applyFill="1" applyBorder="1" applyAlignment="1">
      <alignment vertical="center" textRotation="90"/>
    </xf>
    <xf numFmtId="167" fontId="10" fillId="8" borderId="6" xfId="0" applyNumberFormat="1" applyFont="1" applyFill="1" applyBorder="1" applyAlignment="1">
      <alignment vertical="center"/>
    </xf>
    <xf numFmtId="0" fontId="8" fillId="8" borderId="6" xfId="0" applyFont="1" applyFill="1" applyBorder="1" applyAlignment="1">
      <alignment horizontal="center"/>
    </xf>
    <xf numFmtId="2" fontId="8" fillId="8" borderId="6" xfId="0" applyNumberFormat="1" applyFont="1" applyFill="1" applyBorder="1" applyAlignment="1">
      <alignment horizontal="center"/>
    </xf>
    <xf numFmtId="0" fontId="10" fillId="13" borderId="6" xfId="0" applyFont="1" applyFill="1" applyBorder="1" applyAlignment="1">
      <alignment horizontal="left" vertical="center"/>
    </xf>
    <xf numFmtId="2" fontId="8" fillId="15" borderId="6" xfId="0" applyNumberFormat="1" applyFont="1" applyFill="1" applyBorder="1" applyAlignment="1">
      <alignment horizontal="center" vertical="center"/>
    </xf>
    <xf numFmtId="0" fontId="10" fillId="17" borderId="6" xfId="0" applyFont="1" applyFill="1" applyBorder="1" applyAlignment="1">
      <alignment horizontal="left" vertical="center"/>
    </xf>
    <xf numFmtId="0" fontId="10" fillId="4" borderId="6" xfId="0" applyFont="1" applyFill="1" applyBorder="1" applyAlignment="1">
      <alignment horizontal="left" vertical="center"/>
    </xf>
    <xf numFmtId="2" fontId="8" fillId="4" borderId="6" xfId="0" applyNumberFormat="1" applyFont="1" applyFill="1" applyBorder="1" applyAlignment="1">
      <alignment horizontal="center" vertical="center"/>
    </xf>
    <xf numFmtId="167" fontId="8" fillId="4" borderId="6" xfId="0" applyNumberFormat="1" applyFont="1" applyFill="1" applyBorder="1" applyAlignment="1">
      <alignment vertical="center"/>
    </xf>
    <xf numFmtId="0" fontId="10" fillId="4" borderId="6" xfId="0" applyFont="1" applyFill="1" applyBorder="1" applyAlignment="1">
      <alignment vertical="center"/>
    </xf>
    <xf numFmtId="0" fontId="14" fillId="9" borderId="6" xfId="0" applyFont="1" applyFill="1" applyBorder="1" applyAlignment="1">
      <alignment horizontal="center" vertical="center"/>
    </xf>
    <xf numFmtId="166" fontId="10" fillId="4" borderId="6" xfId="0" applyNumberFormat="1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left" vertical="center" wrapText="1"/>
    </xf>
    <xf numFmtId="173" fontId="8" fillId="0" borderId="6" xfId="1" applyNumberFormat="1" applyFont="1" applyBorder="1" applyAlignment="1">
      <alignment horizontal="right" vertical="center"/>
    </xf>
    <xf numFmtId="0" fontId="8" fillId="4" borderId="6" xfId="0" applyFont="1" applyFill="1" applyBorder="1" applyAlignment="1">
      <alignment horizontal="left" vertical="center"/>
    </xf>
    <xf numFmtId="167" fontId="8" fillId="0" borderId="6" xfId="0" applyNumberFormat="1" applyFont="1" applyBorder="1" applyAlignment="1">
      <alignment horizontal="right" vertical="center"/>
    </xf>
    <xf numFmtId="0" fontId="8" fillId="0" borderId="6" xfId="0" applyFont="1" applyBorder="1" applyAlignment="1">
      <alignment horizontal="left" vertical="center"/>
    </xf>
    <xf numFmtId="167" fontId="15" fillId="16" borderId="6" xfId="0" applyNumberFormat="1" applyFont="1" applyFill="1" applyBorder="1" applyAlignment="1">
      <alignment horizontal="center" vertical="center"/>
    </xf>
    <xf numFmtId="170" fontId="8" fillId="0" borderId="6" xfId="0" applyNumberFormat="1" applyFont="1" applyBorder="1" applyAlignment="1">
      <alignment vertical="center"/>
    </xf>
    <xf numFmtId="167" fontId="12" fillId="5" borderId="6" xfId="0" applyNumberFormat="1" applyFont="1" applyFill="1" applyBorder="1" applyAlignment="1">
      <alignment horizontal="center" vertical="center"/>
    </xf>
    <xf numFmtId="2" fontId="8" fillId="3" borderId="3" xfId="0" applyNumberFormat="1" applyFont="1" applyFill="1" applyBorder="1" applyAlignment="1">
      <alignment horizontal="center" vertical="center"/>
    </xf>
    <xf numFmtId="2" fontId="8" fillId="13" borderId="6" xfId="0" applyNumberFormat="1" applyFont="1" applyFill="1" applyBorder="1" applyAlignment="1">
      <alignment horizontal="center" vertical="center"/>
    </xf>
    <xf numFmtId="2" fontId="8" fillId="12" borderId="6" xfId="0" applyNumberFormat="1" applyFont="1" applyFill="1" applyBorder="1" applyAlignment="1">
      <alignment horizontal="center" vertical="center"/>
    </xf>
    <xf numFmtId="2" fontId="8" fillId="0" borderId="3" xfId="0" applyNumberFormat="1" applyFont="1" applyBorder="1" applyAlignment="1">
      <alignment vertical="center"/>
    </xf>
    <xf numFmtId="0" fontId="8" fillId="12" borderId="6" xfId="0" applyFont="1" applyFill="1" applyBorder="1" applyAlignment="1">
      <alignment horizontal="left" vertical="center"/>
    </xf>
    <xf numFmtId="0" fontId="8" fillId="14" borderId="6" xfId="0" applyFont="1" applyFill="1" applyBorder="1" applyAlignment="1">
      <alignment horizontal="left" vertical="center"/>
    </xf>
    <xf numFmtId="0" fontId="8" fillId="13" borderId="6" xfId="0" applyFont="1" applyFill="1" applyBorder="1" applyAlignment="1">
      <alignment horizontal="left" vertical="center"/>
    </xf>
    <xf numFmtId="0" fontId="8" fillId="8" borderId="6" xfId="0" applyFont="1" applyFill="1" applyBorder="1" applyAlignment="1">
      <alignment horizontal="left" vertical="center"/>
    </xf>
    <xf numFmtId="0" fontId="10" fillId="8" borderId="6" xfId="0" applyFont="1" applyFill="1" applyBorder="1" applyAlignment="1">
      <alignment horizontal="left" vertical="center" textRotation="90"/>
    </xf>
    <xf numFmtId="0" fontId="8" fillId="0" borderId="3" xfId="0" applyFont="1" applyBorder="1" applyAlignment="1">
      <alignment horizontal="left" vertical="center"/>
    </xf>
    <xf numFmtId="0" fontId="8" fillId="0" borderId="3" xfId="0" applyFont="1" applyBorder="1" applyAlignment="1">
      <alignment horizontal="left"/>
    </xf>
    <xf numFmtId="0" fontId="8" fillId="0" borderId="0" xfId="0" applyFont="1" applyAlignment="1"/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8" fillId="0" borderId="0" xfId="0" applyFont="1" applyAlignment="1">
      <alignment horizontal="left" vertical="center"/>
    </xf>
    <xf numFmtId="0" fontId="8" fillId="18" borderId="6" xfId="0" applyFont="1" applyFill="1" applyBorder="1" applyAlignment="1">
      <alignment horizontal="left" vertical="center"/>
    </xf>
    <xf numFmtId="0" fontId="8" fillId="26" borderId="6" xfId="0" applyFont="1" applyFill="1" applyBorder="1" applyAlignment="1">
      <alignment horizontal="left" vertical="center"/>
    </xf>
    <xf numFmtId="0" fontId="8" fillId="27" borderId="6" xfId="0" applyFont="1" applyFill="1" applyBorder="1" applyAlignment="1">
      <alignment horizontal="left" vertical="center"/>
    </xf>
    <xf numFmtId="0" fontId="8" fillId="17" borderId="6" xfId="0" applyFont="1" applyFill="1" applyBorder="1" applyAlignment="1">
      <alignment horizontal="left" vertical="center"/>
    </xf>
    <xf numFmtId="0" fontId="8" fillId="23" borderId="6" xfId="0" applyFont="1" applyFill="1" applyBorder="1" applyAlignment="1">
      <alignment horizontal="left" vertical="center"/>
    </xf>
    <xf numFmtId="0" fontId="8" fillId="17" borderId="0" xfId="0" applyFont="1" applyFill="1" applyAlignment="1">
      <alignment vertical="center"/>
    </xf>
    <xf numFmtId="0" fontId="8" fillId="17" borderId="0" xfId="0" applyFont="1" applyFill="1" applyAlignment="1"/>
    <xf numFmtId="0" fontId="20" fillId="26" borderId="6" xfId="0" applyFont="1" applyFill="1" applyBorder="1" applyAlignment="1">
      <alignment horizontal="left" vertical="center"/>
    </xf>
    <xf numFmtId="0" fontId="10" fillId="17" borderId="6" xfId="0" applyFont="1" applyFill="1" applyBorder="1" applyAlignment="1">
      <alignment horizontal="center" vertical="center"/>
    </xf>
    <xf numFmtId="0" fontId="8" fillId="0" borderId="6" xfId="0" applyFont="1" applyBorder="1" applyAlignment="1">
      <alignment horizontal="left"/>
    </xf>
    <xf numFmtId="0" fontId="8" fillId="24" borderId="6" xfId="0" applyFont="1" applyFill="1" applyBorder="1" applyAlignment="1">
      <alignment horizontal="left" vertical="center"/>
    </xf>
    <xf numFmtId="0" fontId="8" fillId="21" borderId="6" xfId="0" applyFont="1" applyFill="1" applyBorder="1" applyAlignment="1">
      <alignment horizontal="left" vertical="center"/>
    </xf>
    <xf numFmtId="0" fontId="8" fillId="25" borderId="6" xfId="0" applyFont="1" applyFill="1" applyBorder="1" applyAlignment="1">
      <alignment horizontal="left" vertical="center"/>
    </xf>
    <xf numFmtId="0" fontId="8" fillId="22" borderId="6" xfId="0" applyFont="1" applyFill="1" applyBorder="1" applyAlignment="1">
      <alignment horizontal="left" vertical="center"/>
    </xf>
    <xf numFmtId="0" fontId="20" fillId="25" borderId="6" xfId="0" applyFont="1" applyFill="1" applyBorder="1" applyAlignment="1">
      <alignment horizontal="left" vertical="center"/>
    </xf>
    <xf numFmtId="0" fontId="20" fillId="21" borderId="6" xfId="0" applyFont="1" applyFill="1" applyBorder="1" applyAlignment="1">
      <alignment horizontal="left" vertical="center"/>
    </xf>
    <xf numFmtId="0" fontId="8" fillId="0" borderId="6" xfId="0" applyFont="1" applyBorder="1" applyAlignment="1"/>
    <xf numFmtId="0" fontId="8" fillId="17" borderId="6" xfId="0" applyFont="1" applyFill="1" applyBorder="1" applyAlignment="1"/>
    <xf numFmtId="0" fontId="8" fillId="19" borderId="6" xfId="0" applyFont="1" applyFill="1" applyBorder="1" applyAlignment="1">
      <alignment horizontal="left" vertical="center"/>
    </xf>
    <xf numFmtId="0" fontId="8" fillId="20" borderId="6" xfId="0" applyFont="1" applyFill="1" applyBorder="1" applyAlignment="1">
      <alignment horizontal="left" vertical="center"/>
    </xf>
    <xf numFmtId="0" fontId="15" fillId="17" borderId="6" xfId="0" applyFont="1" applyFill="1" applyBorder="1" applyAlignment="1">
      <alignment horizontal="center"/>
    </xf>
    <xf numFmtId="0" fontId="10" fillId="18" borderId="6" xfId="0" applyFont="1" applyFill="1" applyBorder="1" applyAlignment="1">
      <alignment horizontal="center" vertical="center"/>
    </xf>
    <xf numFmtId="0" fontId="21" fillId="17" borderId="6" xfId="0" applyFont="1" applyFill="1" applyBorder="1" applyAlignment="1">
      <alignment horizontal="left" vertical="center"/>
    </xf>
    <xf numFmtId="0" fontId="13" fillId="17" borderId="6" xfId="0" applyFont="1" applyFill="1" applyBorder="1" applyAlignment="1">
      <alignment horizontal="left" vertical="center"/>
    </xf>
    <xf numFmtId="0" fontId="10" fillId="0" borderId="7" xfId="0" applyFont="1" applyBorder="1" applyAlignment="1">
      <alignment horizontal="center" vertical="center"/>
    </xf>
    <xf numFmtId="0" fontId="10" fillId="0" borderId="9" xfId="0" applyFont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21" fillId="25" borderId="6" xfId="0" applyFont="1" applyFill="1" applyBorder="1" applyAlignment="1">
      <alignment horizontal="left" vertical="center"/>
    </xf>
    <xf numFmtId="0" fontId="8" fillId="26" borderId="6" xfId="0" applyFont="1" applyFill="1" applyBorder="1" applyAlignment="1"/>
    <xf numFmtId="0" fontId="13" fillId="26" borderId="6" xfId="0" applyFont="1" applyFill="1" applyBorder="1" applyAlignment="1">
      <alignment horizontal="left" vertical="center"/>
    </xf>
    <xf numFmtId="0" fontId="8" fillId="29" borderId="6" xfId="0" applyFont="1" applyFill="1" applyBorder="1" applyAlignment="1">
      <alignment horizontal="left"/>
    </xf>
    <xf numFmtId="0" fontId="8" fillId="29" borderId="6" xfId="0" applyFont="1" applyFill="1" applyBorder="1" applyAlignment="1">
      <alignment horizontal="left" vertical="center"/>
    </xf>
    <xf numFmtId="0" fontId="8" fillId="17" borderId="7" xfId="0" applyFont="1" applyFill="1" applyBorder="1" applyAlignment="1">
      <alignment horizontal="left" vertical="center"/>
    </xf>
    <xf numFmtId="0" fontId="8" fillId="21" borderId="7" xfId="0" applyFont="1" applyFill="1" applyBorder="1" applyAlignment="1">
      <alignment horizontal="left" vertical="center"/>
    </xf>
    <xf numFmtId="0" fontId="8" fillId="22" borderId="7" xfId="0" applyFont="1" applyFill="1" applyBorder="1" applyAlignment="1">
      <alignment horizontal="left" vertical="center"/>
    </xf>
    <xf numFmtId="0" fontId="8" fillId="26" borderId="7" xfId="0" applyFont="1" applyFill="1" applyBorder="1" applyAlignment="1">
      <alignment horizontal="left" vertical="center"/>
    </xf>
    <xf numFmtId="0" fontId="8" fillId="0" borderId="7" xfId="0" applyFont="1" applyBorder="1" applyAlignment="1">
      <alignment horizontal="left" vertical="center"/>
    </xf>
    <xf numFmtId="0" fontId="8" fillId="0" borderId="7" xfId="0" applyFont="1" applyBorder="1" applyAlignment="1"/>
    <xf numFmtId="0" fontId="8" fillId="17" borderId="9" xfId="0" applyFont="1" applyFill="1" applyBorder="1" applyAlignment="1">
      <alignment horizontal="left" vertical="center"/>
    </xf>
    <xf numFmtId="0" fontId="8" fillId="22" borderId="9" xfId="0" applyFont="1" applyFill="1" applyBorder="1" applyAlignment="1">
      <alignment horizontal="left" vertical="center"/>
    </xf>
    <xf numFmtId="0" fontId="8" fillId="26" borderId="9" xfId="0" applyFont="1" applyFill="1" applyBorder="1" applyAlignment="1">
      <alignment horizontal="left" vertical="center"/>
    </xf>
    <xf numFmtId="0" fontId="8" fillId="0" borderId="9" xfId="0" applyFont="1" applyBorder="1" applyAlignment="1">
      <alignment horizontal="left" vertical="center"/>
    </xf>
    <xf numFmtId="0" fontId="8" fillId="0" borderId="9" xfId="0" applyFont="1" applyBorder="1" applyAlignment="1"/>
    <xf numFmtId="0" fontId="15" fillId="17" borderId="7" xfId="0" applyFont="1" applyFill="1" applyBorder="1" applyAlignment="1">
      <alignment horizontal="center"/>
    </xf>
    <xf numFmtId="0" fontId="8" fillId="23" borderId="7" xfId="0" applyFont="1" applyFill="1" applyBorder="1" applyAlignment="1">
      <alignment horizontal="left" vertical="center"/>
    </xf>
    <xf numFmtId="0" fontId="8" fillId="27" borderId="7" xfId="0" applyFont="1" applyFill="1" applyBorder="1" applyAlignment="1">
      <alignment horizontal="left" vertical="center"/>
    </xf>
    <xf numFmtId="0" fontId="10" fillId="18" borderId="9" xfId="0" applyFont="1" applyFill="1" applyBorder="1" applyAlignment="1">
      <alignment horizontal="center" vertical="center"/>
    </xf>
    <xf numFmtId="0" fontId="8" fillId="18" borderId="9" xfId="0" applyFont="1" applyFill="1" applyBorder="1" applyAlignment="1">
      <alignment horizontal="left" vertical="center"/>
    </xf>
    <xf numFmtId="0" fontId="10" fillId="30" borderId="12" xfId="0" applyFont="1" applyFill="1" applyBorder="1" applyAlignment="1">
      <alignment horizontal="center" vertical="center"/>
    </xf>
    <xf numFmtId="0" fontId="10" fillId="30" borderId="13" xfId="0" applyFont="1" applyFill="1" applyBorder="1" applyAlignment="1">
      <alignment horizontal="center" vertical="center"/>
    </xf>
    <xf numFmtId="0" fontId="8" fillId="30" borderId="13" xfId="0" applyFont="1" applyFill="1" applyBorder="1" applyAlignment="1">
      <alignment horizontal="left" vertical="center"/>
    </xf>
    <xf numFmtId="0" fontId="8" fillId="30" borderId="14" xfId="0" applyFont="1" applyFill="1" applyBorder="1" applyAlignment="1">
      <alignment horizontal="left" vertical="center"/>
    </xf>
    <xf numFmtId="0" fontId="8" fillId="31" borderId="13" xfId="0" applyFont="1" applyFill="1" applyBorder="1" applyAlignment="1">
      <alignment horizontal="left" vertical="center"/>
    </xf>
    <xf numFmtId="0" fontId="15" fillId="30" borderId="12" xfId="0" applyFont="1" applyFill="1" applyBorder="1" applyAlignment="1">
      <alignment horizontal="center"/>
    </xf>
    <xf numFmtId="0" fontId="8" fillId="32" borderId="13" xfId="0" applyFont="1" applyFill="1" applyBorder="1" applyAlignment="1">
      <alignment horizontal="left" vertical="center"/>
    </xf>
    <xf numFmtId="0" fontId="8" fillId="33" borderId="14" xfId="0" applyFont="1" applyFill="1" applyBorder="1" applyAlignment="1">
      <alignment horizontal="left" vertical="center"/>
    </xf>
    <xf numFmtId="0" fontId="10" fillId="17" borderId="7" xfId="0" applyFont="1" applyFill="1" applyBorder="1" applyAlignment="1">
      <alignment horizontal="center" vertical="center"/>
    </xf>
    <xf numFmtId="0" fontId="10" fillId="17" borderId="9" xfId="0" applyFont="1" applyFill="1" applyBorder="1" applyAlignment="1">
      <alignment horizontal="center" vertical="center"/>
    </xf>
    <xf numFmtId="0" fontId="10" fillId="30" borderId="17" xfId="0" applyFont="1" applyFill="1" applyBorder="1" applyAlignment="1">
      <alignment horizontal="center" vertical="center"/>
    </xf>
    <xf numFmtId="0" fontId="10" fillId="30" borderId="18" xfId="0" applyFont="1" applyFill="1" applyBorder="1" applyAlignment="1">
      <alignment horizontal="center" vertical="center"/>
    </xf>
    <xf numFmtId="0" fontId="10" fillId="30" borderId="19" xfId="0" applyFont="1" applyFill="1" applyBorder="1" applyAlignment="1">
      <alignment horizontal="center" vertical="center"/>
    </xf>
    <xf numFmtId="0" fontId="8" fillId="30" borderId="19" xfId="0" applyFont="1" applyFill="1" applyBorder="1" applyAlignment="1">
      <alignment horizontal="left" vertical="center"/>
    </xf>
    <xf numFmtId="0" fontId="8" fillId="30" borderId="20" xfId="0" applyFont="1" applyFill="1" applyBorder="1" applyAlignment="1"/>
    <xf numFmtId="0" fontId="8" fillId="30" borderId="21" xfId="0" applyFont="1" applyFill="1" applyBorder="1" applyAlignment="1">
      <alignment horizontal="left" vertical="center"/>
    </xf>
    <xf numFmtId="0" fontId="10" fillId="30" borderId="6" xfId="0" applyFont="1" applyFill="1" applyBorder="1" applyAlignment="1">
      <alignment horizontal="center" vertical="center"/>
    </xf>
    <xf numFmtId="0" fontId="8" fillId="30" borderId="6" xfId="0" applyFont="1" applyFill="1" applyBorder="1" applyAlignment="1">
      <alignment horizontal="left" vertical="center"/>
    </xf>
    <xf numFmtId="0" fontId="8" fillId="17" borderId="6" xfId="0" applyFont="1" applyFill="1" applyBorder="1" applyAlignment="1">
      <alignment horizontal="left"/>
    </xf>
    <xf numFmtId="0" fontId="8" fillId="26" borderId="21" xfId="0" applyFont="1" applyFill="1" applyBorder="1" applyAlignment="1">
      <alignment horizontal="left" vertical="center"/>
    </xf>
    <xf numFmtId="0" fontId="10" fillId="2" borderId="6" xfId="0" applyFont="1" applyFill="1" applyBorder="1" applyAlignment="1">
      <alignment horizontal="center" vertical="center" textRotation="90" wrapText="1"/>
    </xf>
    <xf numFmtId="0" fontId="9" fillId="0" borderId="6" xfId="0" applyFont="1" applyBorder="1"/>
    <xf numFmtId="0" fontId="15" fillId="16" borderId="6" xfId="0" applyFont="1" applyFill="1" applyBorder="1" applyAlignment="1">
      <alignment horizontal="center" vertical="center" wrapText="1"/>
    </xf>
    <xf numFmtId="0" fontId="15" fillId="16" borderId="6" xfId="0" applyFont="1" applyFill="1" applyBorder="1"/>
    <xf numFmtId="0" fontId="8" fillId="0" borderId="6" xfId="0" applyFont="1" applyBorder="1" applyAlignment="1">
      <alignment horizontal="center" vertical="center"/>
    </xf>
    <xf numFmtId="0" fontId="8" fillId="2" borderId="6" xfId="0" applyFont="1" applyFill="1" applyBorder="1" applyAlignment="1">
      <alignment horizontal="center" vertical="center"/>
    </xf>
    <xf numFmtId="0" fontId="12" fillId="5" borderId="6" xfId="0" applyFont="1" applyFill="1" applyBorder="1" applyAlignment="1">
      <alignment horizontal="center" vertical="center" textRotation="90" wrapText="1"/>
    </xf>
    <xf numFmtId="0" fontId="10" fillId="13" borderId="6" xfId="0" applyFont="1" applyFill="1" applyBorder="1" applyAlignment="1">
      <alignment horizontal="center" vertical="center" textRotation="90"/>
    </xf>
    <xf numFmtId="0" fontId="10" fillId="0" borderId="6" xfId="0" applyFont="1" applyBorder="1" applyAlignment="1">
      <alignment horizontal="left" vertical="center"/>
    </xf>
    <xf numFmtId="0" fontId="10" fillId="8" borderId="6" xfId="0" applyFont="1" applyFill="1" applyBorder="1" applyAlignment="1">
      <alignment horizontal="left" vertical="center"/>
    </xf>
    <xf numFmtId="0" fontId="9" fillId="0" borderId="7" xfId="0" applyFont="1" applyBorder="1" applyAlignment="1">
      <alignment horizontal="center"/>
    </xf>
    <xf numFmtId="0" fontId="9" fillId="0" borderId="8" xfId="0" applyFont="1" applyBorder="1" applyAlignment="1">
      <alignment horizontal="center"/>
    </xf>
    <xf numFmtId="0" fontId="9" fillId="0" borderId="9" xfId="0" applyFont="1" applyBorder="1" applyAlignment="1">
      <alignment horizontal="center"/>
    </xf>
    <xf numFmtId="0" fontId="11" fillId="5" borderId="6" xfId="0" applyFont="1" applyFill="1" applyBorder="1" applyAlignment="1">
      <alignment horizontal="center" vertical="center" textRotation="90" wrapText="1"/>
    </xf>
    <xf numFmtId="0" fontId="10" fillId="0" borderId="6" xfId="0" applyFont="1" applyBorder="1" applyAlignment="1">
      <alignment horizontal="left" vertical="center" wrapText="1"/>
    </xf>
    <xf numFmtId="169" fontId="10" fillId="0" borderId="6" xfId="1" applyNumberFormat="1" applyFont="1" applyBorder="1" applyAlignment="1">
      <alignment horizontal="left" vertical="top"/>
    </xf>
    <xf numFmtId="0" fontId="10" fillId="4" borderId="6" xfId="0" applyFont="1" applyFill="1" applyBorder="1" applyAlignment="1">
      <alignment horizontal="left" vertical="center"/>
    </xf>
    <xf numFmtId="0" fontId="10" fillId="14" borderId="6" xfId="0" applyFont="1" applyFill="1" applyBorder="1" applyAlignment="1">
      <alignment horizontal="left" vertical="center"/>
    </xf>
    <xf numFmtId="0" fontId="8" fillId="0" borderId="6" xfId="0" applyFont="1" applyBorder="1" applyAlignment="1">
      <alignment horizontal="center" vertical="center" wrapText="1"/>
    </xf>
    <xf numFmtId="0" fontId="10" fillId="13" borderId="6" xfId="0" applyFont="1" applyFill="1" applyBorder="1" applyAlignment="1">
      <alignment horizontal="left" vertical="center"/>
    </xf>
    <xf numFmtId="0" fontId="11" fillId="5" borderId="6" xfId="0" applyFont="1" applyFill="1" applyBorder="1" applyAlignment="1">
      <alignment horizontal="center" vertical="center" textRotation="90"/>
    </xf>
    <xf numFmtId="0" fontId="9" fillId="0" borderId="6" xfId="0" applyFont="1" applyBorder="1" applyAlignment="1">
      <alignment wrapText="1"/>
    </xf>
    <xf numFmtId="0" fontId="10" fillId="12" borderId="6" xfId="0" applyFont="1" applyFill="1" applyBorder="1" applyAlignment="1">
      <alignment horizontal="left" vertical="center"/>
    </xf>
    <xf numFmtId="0" fontId="10" fillId="12" borderId="7" xfId="0" applyFont="1" applyFill="1" applyBorder="1" applyAlignment="1">
      <alignment horizontal="left" vertical="center"/>
    </xf>
    <xf numFmtId="0" fontId="10" fillId="12" borderId="9" xfId="0" applyFont="1" applyFill="1" applyBorder="1" applyAlignment="1">
      <alignment horizontal="left" vertical="center"/>
    </xf>
    <xf numFmtId="0" fontId="5" fillId="2" borderId="6" xfId="0" applyFont="1" applyFill="1" applyBorder="1" applyAlignment="1">
      <alignment horizontal="center" vertical="center"/>
    </xf>
    <xf numFmtId="0" fontId="6" fillId="0" borderId="6" xfId="0" applyFont="1" applyBorder="1" applyAlignment="1">
      <alignment horizontal="center"/>
    </xf>
    <xf numFmtId="165" fontId="7" fillId="4" borderId="6" xfId="0" applyNumberFormat="1" applyFont="1" applyFill="1" applyBorder="1" applyAlignment="1">
      <alignment horizontal="center" vertical="center"/>
    </xf>
    <xf numFmtId="0" fontId="12" fillId="5" borderId="6" xfId="0" applyFont="1" applyFill="1" applyBorder="1" applyAlignment="1">
      <alignment horizontal="center" vertical="center"/>
    </xf>
    <xf numFmtId="0" fontId="14" fillId="9" borderId="6" xfId="0" applyFont="1" applyFill="1" applyBorder="1" applyAlignment="1">
      <alignment vertical="center"/>
    </xf>
    <xf numFmtId="0" fontId="5" fillId="4" borderId="6" xfId="0" applyFont="1" applyFill="1" applyBorder="1" applyAlignment="1">
      <alignment horizontal="left" vertical="center"/>
    </xf>
    <xf numFmtId="0" fontId="6" fillId="0" borderId="6" xfId="0" applyFont="1" applyBorder="1"/>
    <xf numFmtId="0" fontId="7" fillId="4" borderId="6" xfId="0" applyFont="1" applyFill="1" applyBorder="1" applyAlignment="1">
      <alignment horizontal="left" vertical="center"/>
    </xf>
    <xf numFmtId="0" fontId="5" fillId="5" borderId="6" xfId="0" applyFont="1" applyFill="1" applyBorder="1" applyAlignment="1">
      <alignment horizontal="center" vertical="center"/>
    </xf>
    <xf numFmtId="0" fontId="15" fillId="0" borderId="6" xfId="0" applyFont="1" applyBorder="1"/>
    <xf numFmtId="0" fontId="13" fillId="2" borderId="6" xfId="0" applyFont="1" applyFill="1" applyBorder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0" fontId="10" fillId="0" borderId="9" xfId="0" applyFont="1" applyBorder="1" applyAlignment="1">
      <alignment horizontal="center" vertical="center"/>
    </xf>
    <xf numFmtId="0" fontId="10" fillId="0" borderId="16" xfId="0" applyFont="1" applyBorder="1" applyAlignment="1">
      <alignment horizontal="center" vertical="center"/>
    </xf>
    <xf numFmtId="0" fontId="10" fillId="0" borderId="22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10" fillId="0" borderId="6" xfId="0" applyFont="1" applyBorder="1" applyAlignment="1">
      <alignment horizontal="center"/>
    </xf>
    <xf numFmtId="0" fontId="8" fillId="17" borderId="7" xfId="0" applyFont="1" applyFill="1" applyBorder="1" applyAlignment="1">
      <alignment horizontal="center"/>
    </xf>
    <xf numFmtId="0" fontId="8" fillId="17" borderId="8" xfId="0" applyFont="1" applyFill="1" applyBorder="1" applyAlignment="1">
      <alignment horizontal="center"/>
    </xf>
    <xf numFmtId="0" fontId="8" fillId="17" borderId="11" xfId="0" applyFont="1" applyFill="1" applyBorder="1" applyAlignment="1">
      <alignment horizontal="center"/>
    </xf>
    <xf numFmtId="0" fontId="8" fillId="17" borderId="15" xfId="0" applyFont="1" applyFill="1" applyBorder="1" applyAlignment="1">
      <alignment horizontal="center"/>
    </xf>
    <xf numFmtId="0" fontId="10" fillId="0" borderId="10" xfId="0" applyFont="1" applyBorder="1" applyAlignment="1">
      <alignment horizontal="center" vertical="center"/>
    </xf>
    <xf numFmtId="0" fontId="10" fillId="28" borderId="6" xfId="0" applyFont="1" applyFill="1" applyBorder="1" applyAlignment="1">
      <alignment horizontal="center"/>
    </xf>
    <xf numFmtId="0" fontId="15" fillId="0" borderId="6" xfId="0" applyFont="1" applyBorder="1" applyAlignment="1">
      <alignment horizontal="center"/>
    </xf>
    <xf numFmtId="0" fontId="15" fillId="0" borderId="10" xfId="0" applyFont="1" applyBorder="1" applyAlignment="1">
      <alignment horizontal="center"/>
    </xf>
    <xf numFmtId="0" fontId="19" fillId="5" borderId="4" xfId="0" applyFont="1" applyFill="1" applyBorder="1" applyAlignment="1">
      <alignment horizontal="center" vertical="center" wrapText="1"/>
    </xf>
    <xf numFmtId="0" fontId="18" fillId="0" borderId="5" xfId="0" applyFont="1" applyBorder="1"/>
    <xf numFmtId="0" fontId="18" fillId="0" borderId="2" xfId="0" applyFont="1" applyBorder="1"/>
    <xf numFmtId="0" fontId="4" fillId="0" borderId="4" xfId="0" applyFont="1" applyBorder="1" applyAlignment="1">
      <alignment horizontal="right" vertical="center" wrapText="1"/>
    </xf>
    <xf numFmtId="0" fontId="4" fillId="11" borderId="4" xfId="0" applyFont="1" applyFill="1" applyBorder="1" applyAlignment="1">
      <alignment horizontal="right"/>
    </xf>
    <xf numFmtId="0" fontId="17" fillId="10" borderId="4" xfId="0" applyFont="1" applyFill="1" applyBorder="1" applyAlignment="1">
      <alignment horizontal="center" vertical="center"/>
    </xf>
    <xf numFmtId="0" fontId="4" fillId="0" borderId="4" xfId="0" applyFont="1" applyBorder="1" applyAlignment="1">
      <alignment horizontal="center" vertical="center" wrapText="1"/>
    </xf>
    <xf numFmtId="0" fontId="4" fillId="4" borderId="4" xfId="0" applyFont="1" applyFill="1" applyBorder="1" applyAlignment="1">
      <alignment horizontal="center" vertical="center"/>
    </xf>
    <xf numFmtId="0" fontId="19" fillId="5" borderId="4" xfId="0" applyFont="1" applyFill="1" applyBorder="1" applyAlignment="1">
      <alignment horizontal="center" wrapText="1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colors>
    <mruColors>
      <color rgb="FFFFFF99"/>
      <color rgb="FFFF9966"/>
      <color rgb="FF66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customschemas.google.com/relationships/workbookmetadata" Target="metadata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5" Type="http://schemas.openxmlformats.org/officeDocument/2006/relationships/externalLink" Target="externalLinks/externalLink1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402772</xdr:colOff>
      <xdr:row>0</xdr:row>
      <xdr:rowOff>65315</xdr:rowOff>
    </xdr:from>
    <xdr:to>
      <xdr:col>9</xdr:col>
      <xdr:colOff>511628</xdr:colOff>
      <xdr:row>5</xdr:row>
      <xdr:rowOff>167703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30682" t="7243" r="30530" b="6194"/>
        <a:stretch/>
      </xdr:blipFill>
      <xdr:spPr>
        <a:xfrm>
          <a:off x="9296401" y="65315"/>
          <a:ext cx="1077685" cy="108210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CARRE&#209;O/Documents/Backup/Caparrapi/FORMATOS%2032%20CASAS%20CAPARRAPI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R-006"/>
      <sheetName val="FR-007"/>
      <sheetName val="FR-008"/>
      <sheetName val="FR-009"/>
      <sheetName val="FR-010"/>
      <sheetName val="FR-011"/>
      <sheetName val="FR-012"/>
      <sheetName val="FR-013"/>
      <sheetName val="FR-014"/>
      <sheetName val="FR-015"/>
      <sheetName val="FR-016"/>
      <sheetName val="Validaciones"/>
      <sheetName val="FR-017"/>
      <sheetName val="Nocaim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3">
          <cell r="K3" t="str">
            <v>Cabildo Resguardo Indigena</v>
          </cell>
          <cell r="Y3">
            <v>1</v>
          </cell>
          <cell r="AL3" t="str">
            <v>AMAZONAS</v>
          </cell>
          <cell r="AM3" t="str">
            <v>AMAZONAS</v>
          </cell>
          <cell r="AN3" t="str">
            <v>EL ENCANTO</v>
          </cell>
          <cell r="AR3" t="str">
            <v>0101</v>
          </cell>
        </row>
        <row r="4">
          <cell r="K4" t="str">
            <v>Consejo Comunitario de Negritudes</v>
          </cell>
          <cell r="Y4">
            <v>2</v>
          </cell>
          <cell r="AL4" t="str">
            <v>ANTIOQUIA</v>
          </cell>
          <cell r="AM4" t="str">
            <v>AMAZONAS</v>
          </cell>
          <cell r="AR4" t="str">
            <v>0102</v>
          </cell>
        </row>
        <row r="5">
          <cell r="K5" t="str">
            <v>Departamento</v>
          </cell>
          <cell r="Y5">
            <v>3</v>
          </cell>
          <cell r="AL5" t="str">
            <v>ARAUCA</v>
          </cell>
          <cell r="AM5" t="str">
            <v>AMAZONAS</v>
          </cell>
          <cell r="AR5" t="str">
            <v>0103</v>
          </cell>
        </row>
        <row r="6">
          <cell r="K6" t="str">
            <v>Entidad Privada</v>
          </cell>
          <cell r="Y6">
            <v>4</v>
          </cell>
          <cell r="AL6" t="str">
            <v>ATLANTICO</v>
          </cell>
          <cell r="AM6" t="str">
            <v>AMAZONAS</v>
          </cell>
          <cell r="AR6" t="str">
            <v>0104</v>
          </cell>
        </row>
        <row r="7">
          <cell r="K7" t="str">
            <v>Entidad Promotora</v>
          </cell>
          <cell r="W7">
            <v>5</v>
          </cell>
          <cell r="Y7">
            <v>5</v>
          </cell>
          <cell r="AL7" t="str">
            <v>BOGOTA D.C.</v>
          </cell>
          <cell r="AM7" t="str">
            <v>AMAZONAS</v>
          </cell>
          <cell r="AR7" t="str">
            <v>0105</v>
          </cell>
        </row>
        <row r="8">
          <cell r="K8" t="str">
            <v>Gremio Agopecuario</v>
          </cell>
          <cell r="W8">
            <v>6</v>
          </cell>
          <cell r="Y8">
            <v>6</v>
          </cell>
          <cell r="AL8" t="str">
            <v>BOLIVAR</v>
          </cell>
          <cell r="AM8" t="str">
            <v>AMAZONAS</v>
          </cell>
          <cell r="AR8" t="str">
            <v>0106</v>
          </cell>
        </row>
        <row r="9">
          <cell r="K9" t="str">
            <v>Municipio</v>
          </cell>
          <cell r="W9">
            <v>7</v>
          </cell>
          <cell r="Y9">
            <v>7</v>
          </cell>
          <cell r="AL9" t="str">
            <v>BOYACA</v>
          </cell>
          <cell r="AM9" t="str">
            <v>AMAZONAS</v>
          </cell>
          <cell r="AR9" t="str">
            <v>0107</v>
          </cell>
        </row>
        <row r="10">
          <cell r="K10" t="str">
            <v>Organización No Gubernamental (ONG)</v>
          </cell>
          <cell r="W10">
            <v>8</v>
          </cell>
          <cell r="Y10">
            <v>8</v>
          </cell>
          <cell r="AL10" t="str">
            <v>CALDAS</v>
          </cell>
          <cell r="AM10" t="str">
            <v>AMAZONAS</v>
          </cell>
          <cell r="AR10" t="str">
            <v>0108</v>
          </cell>
        </row>
        <row r="11">
          <cell r="K11" t="str">
            <v>Organizaciones Populares de Vivienda</v>
          </cell>
          <cell r="W11">
            <v>9</v>
          </cell>
          <cell r="AL11" t="str">
            <v>CAQUETA</v>
          </cell>
          <cell r="AM11" t="str">
            <v>AMAZONAS</v>
          </cell>
          <cell r="AR11" t="str">
            <v>0109</v>
          </cell>
        </row>
        <row r="12">
          <cell r="W12">
            <v>10</v>
          </cell>
          <cell r="AL12" t="str">
            <v>CASANARE</v>
          </cell>
          <cell r="AM12" t="str">
            <v>AMAZONAS</v>
          </cell>
          <cell r="AR12" t="str">
            <v>0110</v>
          </cell>
        </row>
        <row r="13">
          <cell r="W13">
            <v>11</v>
          </cell>
          <cell r="AL13" t="str">
            <v>CAUCA</v>
          </cell>
          <cell r="AM13" t="str">
            <v>AMAZONAS</v>
          </cell>
          <cell r="AR13" t="str">
            <v>0111</v>
          </cell>
        </row>
        <row r="14">
          <cell r="W14">
            <v>12</v>
          </cell>
          <cell r="AL14" t="str">
            <v>CESAR</v>
          </cell>
          <cell r="AM14" t="str">
            <v>AMAZONAS</v>
          </cell>
          <cell r="AR14" t="str">
            <v>0112</v>
          </cell>
        </row>
        <row r="15">
          <cell r="W15">
            <v>13</v>
          </cell>
          <cell r="AL15" t="str">
            <v>CHOCO</v>
          </cell>
          <cell r="AM15" t="str">
            <v>ANTIOQUIA</v>
          </cell>
          <cell r="AR15" t="str">
            <v>0201</v>
          </cell>
        </row>
        <row r="16">
          <cell r="W16">
            <v>14</v>
          </cell>
          <cell r="AL16" t="str">
            <v>CORDOBA</v>
          </cell>
          <cell r="AM16" t="str">
            <v>ANTIOQUIA</v>
          </cell>
          <cell r="AR16" t="str">
            <v>0202</v>
          </cell>
        </row>
        <row r="17">
          <cell r="W17">
            <v>15</v>
          </cell>
          <cell r="AL17" t="str">
            <v>CUNDINAMARCA</v>
          </cell>
          <cell r="AM17" t="str">
            <v>ANTIOQUIA</v>
          </cell>
          <cell r="AR17" t="str">
            <v>0203</v>
          </cell>
        </row>
        <row r="18">
          <cell r="W18">
            <v>16</v>
          </cell>
          <cell r="AL18" t="str">
            <v>GUAINIA</v>
          </cell>
          <cell r="AM18" t="str">
            <v>ANTIOQUIA</v>
          </cell>
          <cell r="AR18" t="str">
            <v>0204</v>
          </cell>
        </row>
        <row r="19">
          <cell r="W19">
            <v>17</v>
          </cell>
          <cell r="AL19" t="str">
            <v>GUAVIARE</v>
          </cell>
          <cell r="AM19" t="str">
            <v>ANTIOQUIA</v>
          </cell>
          <cell r="AR19" t="str">
            <v>0205</v>
          </cell>
        </row>
        <row r="20">
          <cell r="W20">
            <v>18</v>
          </cell>
          <cell r="AL20" t="str">
            <v>HUILA</v>
          </cell>
          <cell r="AM20" t="str">
            <v>ANTIOQUIA</v>
          </cell>
          <cell r="AR20" t="str">
            <v>0206</v>
          </cell>
        </row>
        <row r="21">
          <cell r="W21">
            <v>19</v>
          </cell>
          <cell r="AL21" t="str">
            <v>LA GUAJIRA</v>
          </cell>
          <cell r="AM21" t="str">
            <v>ANTIOQUIA</v>
          </cell>
          <cell r="AR21" t="str">
            <v>0207</v>
          </cell>
        </row>
        <row r="22">
          <cell r="W22">
            <v>20</v>
          </cell>
          <cell r="AL22" t="str">
            <v>MAGDALENA</v>
          </cell>
          <cell r="AM22" t="str">
            <v>ANTIOQUIA</v>
          </cell>
          <cell r="AR22" t="str">
            <v>0208</v>
          </cell>
        </row>
        <row r="23">
          <cell r="W23">
            <v>21</v>
          </cell>
          <cell r="AL23" t="str">
            <v>META</v>
          </cell>
          <cell r="AM23" t="str">
            <v>ANTIOQUIA</v>
          </cell>
          <cell r="AR23" t="str">
            <v>0209</v>
          </cell>
        </row>
        <row r="24">
          <cell r="W24">
            <v>22</v>
          </cell>
          <cell r="AL24" t="str">
            <v>NARIÑO</v>
          </cell>
          <cell r="AM24" t="str">
            <v>ANTIOQUIA</v>
          </cell>
          <cell r="AR24" t="str">
            <v>0210</v>
          </cell>
        </row>
        <row r="25">
          <cell r="W25">
            <v>23</v>
          </cell>
          <cell r="AL25" t="str">
            <v>NTE SANTANDER</v>
          </cell>
          <cell r="AM25" t="str">
            <v>ANTIOQUIA</v>
          </cell>
          <cell r="AR25" t="str">
            <v>0211</v>
          </cell>
        </row>
        <row r="26">
          <cell r="W26">
            <v>24</v>
          </cell>
          <cell r="AL26" t="str">
            <v>PUTUMAYO</v>
          </cell>
          <cell r="AM26" t="str">
            <v>ANTIOQUIA</v>
          </cell>
          <cell r="AR26" t="str">
            <v>0212</v>
          </cell>
        </row>
        <row r="27">
          <cell r="W27">
            <v>25</v>
          </cell>
          <cell r="AL27" t="str">
            <v>QUINDIO</v>
          </cell>
          <cell r="AM27" t="str">
            <v>ANTIOQUIA</v>
          </cell>
          <cell r="AR27" t="str">
            <v>0213</v>
          </cell>
        </row>
        <row r="28">
          <cell r="W28">
            <v>26</v>
          </cell>
          <cell r="AL28" t="str">
            <v>RISARALDA</v>
          </cell>
          <cell r="AM28" t="str">
            <v>ANTIOQUIA</v>
          </cell>
          <cell r="AR28" t="str">
            <v>0214</v>
          </cell>
        </row>
        <row r="29">
          <cell r="W29">
            <v>27</v>
          </cell>
          <cell r="AL29" t="str">
            <v>SAN ANDRES ISLAS</v>
          </cell>
          <cell r="AM29" t="str">
            <v>ANTIOQUIA</v>
          </cell>
          <cell r="AR29" t="str">
            <v>0215</v>
          </cell>
        </row>
        <row r="30">
          <cell r="W30">
            <v>28</v>
          </cell>
          <cell r="AL30" t="str">
            <v>SANTANDER</v>
          </cell>
          <cell r="AM30" t="str">
            <v>ANTIOQUIA</v>
          </cell>
          <cell r="AR30" t="str">
            <v>0216</v>
          </cell>
        </row>
        <row r="31">
          <cell r="W31">
            <v>29</v>
          </cell>
          <cell r="AL31" t="str">
            <v>SUCRE</v>
          </cell>
          <cell r="AM31" t="str">
            <v>ANTIOQUIA</v>
          </cell>
          <cell r="AR31" t="str">
            <v>0217</v>
          </cell>
        </row>
        <row r="32">
          <cell r="W32">
            <v>30</v>
          </cell>
          <cell r="AL32" t="str">
            <v>TOLIMA</v>
          </cell>
          <cell r="AM32" t="str">
            <v>ANTIOQUIA</v>
          </cell>
          <cell r="AR32" t="str">
            <v>0218</v>
          </cell>
        </row>
        <row r="33">
          <cell r="W33">
            <v>31</v>
          </cell>
          <cell r="AL33" t="str">
            <v>VALLE</v>
          </cell>
          <cell r="AM33" t="str">
            <v>ANTIOQUIA</v>
          </cell>
          <cell r="AR33" t="str">
            <v>0219</v>
          </cell>
        </row>
        <row r="34">
          <cell r="W34">
            <v>32</v>
          </cell>
          <cell r="AL34" t="str">
            <v>VAUPES</v>
          </cell>
          <cell r="AM34" t="str">
            <v>ANTIOQUIA</v>
          </cell>
          <cell r="AR34" t="str">
            <v>0220</v>
          </cell>
        </row>
        <row r="35">
          <cell r="W35">
            <v>33</v>
          </cell>
          <cell r="AL35" t="str">
            <v>VICHADA</v>
          </cell>
          <cell r="AM35" t="str">
            <v>ANTIOQUIA</v>
          </cell>
          <cell r="AR35" t="str">
            <v>0221</v>
          </cell>
        </row>
        <row r="36">
          <cell r="W36">
            <v>30</v>
          </cell>
          <cell r="AM36" t="str">
            <v>ANTIOQUIA</v>
          </cell>
          <cell r="AR36" t="str">
            <v>0301</v>
          </cell>
        </row>
        <row r="37">
          <cell r="W37">
            <v>35</v>
          </cell>
          <cell r="AM37" t="str">
            <v>ANTIOQUIA</v>
          </cell>
          <cell r="AR37" t="str">
            <v>0302</v>
          </cell>
        </row>
        <row r="38">
          <cell r="W38">
            <v>36</v>
          </cell>
          <cell r="AM38" t="str">
            <v>ANTIOQUIA</v>
          </cell>
          <cell r="AR38" t="str">
            <v>0303</v>
          </cell>
        </row>
        <row r="39">
          <cell r="W39">
            <v>37</v>
          </cell>
          <cell r="AM39" t="str">
            <v>ANTIOQUIA</v>
          </cell>
          <cell r="AR39" t="str">
            <v>0304</v>
          </cell>
        </row>
        <row r="40">
          <cell r="W40">
            <v>38</v>
          </cell>
          <cell r="AM40" t="str">
            <v>ANTIOQUIA</v>
          </cell>
          <cell r="AR40" t="str">
            <v>0305</v>
          </cell>
        </row>
        <row r="41">
          <cell r="W41">
            <v>39</v>
          </cell>
          <cell r="AM41" t="str">
            <v>ANTIOQUIA</v>
          </cell>
          <cell r="AR41" t="str">
            <v>0306</v>
          </cell>
        </row>
        <row r="42">
          <cell r="W42">
            <v>40</v>
          </cell>
          <cell r="AM42" t="str">
            <v>ANTIOQUIA</v>
          </cell>
          <cell r="AR42" t="str">
            <v>0307</v>
          </cell>
        </row>
        <row r="43">
          <cell r="W43">
            <v>41</v>
          </cell>
          <cell r="AM43" t="str">
            <v>ANTIOQUIA</v>
          </cell>
          <cell r="AR43" t="str">
            <v>0308</v>
          </cell>
        </row>
        <row r="44">
          <cell r="W44">
            <v>42</v>
          </cell>
          <cell r="AM44" t="str">
            <v>ANTIOQUIA</v>
          </cell>
          <cell r="AR44" t="str">
            <v>0309</v>
          </cell>
        </row>
        <row r="45">
          <cell r="W45">
            <v>43</v>
          </cell>
          <cell r="AM45" t="str">
            <v>ANTIOQUIA</v>
          </cell>
          <cell r="AR45" t="str">
            <v>0310</v>
          </cell>
        </row>
        <row r="46">
          <cell r="W46">
            <v>44</v>
          </cell>
          <cell r="AM46" t="str">
            <v>ANTIOQUIA</v>
          </cell>
          <cell r="AR46" t="str">
            <v>0311</v>
          </cell>
        </row>
        <row r="47">
          <cell r="W47">
            <v>45</v>
          </cell>
          <cell r="AM47" t="str">
            <v>ANTIOQUIA</v>
          </cell>
          <cell r="AR47" t="str">
            <v>0312</v>
          </cell>
        </row>
        <row r="48">
          <cell r="W48">
            <v>46</v>
          </cell>
          <cell r="AM48" t="str">
            <v>ANTIOQUIA</v>
          </cell>
          <cell r="AR48" t="str">
            <v>0313</v>
          </cell>
        </row>
        <row r="49">
          <cell r="W49">
            <v>47</v>
          </cell>
          <cell r="AM49" t="str">
            <v>ANTIOQUIA</v>
          </cell>
          <cell r="AR49" t="str">
            <v>0314</v>
          </cell>
        </row>
        <row r="50">
          <cell r="W50">
            <v>48</v>
          </cell>
          <cell r="AM50" t="str">
            <v>ANTIOQUIA</v>
          </cell>
          <cell r="AR50" t="str">
            <v>0315</v>
          </cell>
        </row>
        <row r="51">
          <cell r="W51">
            <v>49</v>
          </cell>
          <cell r="AM51" t="str">
            <v>ANTIOQUIA</v>
          </cell>
          <cell r="AR51" t="str">
            <v>0316</v>
          </cell>
        </row>
        <row r="52">
          <cell r="W52">
            <v>50</v>
          </cell>
          <cell r="AM52" t="str">
            <v>ANTIOQUIA</v>
          </cell>
          <cell r="AR52" t="str">
            <v>0317</v>
          </cell>
        </row>
        <row r="53">
          <cell r="W53">
            <v>51</v>
          </cell>
          <cell r="AM53" t="str">
            <v>ANTIOQUIA</v>
          </cell>
          <cell r="AR53" t="str">
            <v>0318</v>
          </cell>
        </row>
        <row r="54">
          <cell r="W54">
            <v>52</v>
          </cell>
          <cell r="AM54" t="str">
            <v>ANTIOQUIA</v>
          </cell>
          <cell r="AR54" t="str">
            <v>0401</v>
          </cell>
        </row>
        <row r="55">
          <cell r="W55">
            <v>53</v>
          </cell>
          <cell r="AM55" t="str">
            <v>ANTIOQUIA</v>
          </cell>
          <cell r="AR55" t="str">
            <v>0402</v>
          </cell>
        </row>
        <row r="56">
          <cell r="W56">
            <v>54</v>
          </cell>
          <cell r="AM56" t="str">
            <v>ANTIOQUIA</v>
          </cell>
          <cell r="AR56" t="str">
            <v>0403</v>
          </cell>
        </row>
        <row r="57">
          <cell r="W57">
            <v>55</v>
          </cell>
          <cell r="AM57" t="str">
            <v>ANTIOQUIA</v>
          </cell>
          <cell r="AR57" t="str">
            <v>0404</v>
          </cell>
        </row>
        <row r="58">
          <cell r="W58">
            <v>56</v>
          </cell>
          <cell r="AM58" t="str">
            <v>ANTIOQUIA</v>
          </cell>
          <cell r="AR58" t="str">
            <v>0405</v>
          </cell>
        </row>
        <row r="59">
          <cell r="W59">
            <v>57</v>
          </cell>
          <cell r="AM59" t="str">
            <v>ANTIOQUIA</v>
          </cell>
          <cell r="AR59" t="str">
            <v>0406</v>
          </cell>
        </row>
        <row r="60">
          <cell r="W60">
            <v>58</v>
          </cell>
          <cell r="AM60" t="str">
            <v>ANTIOQUIA</v>
          </cell>
          <cell r="AR60" t="str">
            <v>0407</v>
          </cell>
        </row>
        <row r="61">
          <cell r="W61">
            <v>59</v>
          </cell>
          <cell r="AM61" t="str">
            <v>ANTIOQUIA</v>
          </cell>
          <cell r="AR61" t="str">
            <v>0408</v>
          </cell>
        </row>
        <row r="62">
          <cell r="W62">
            <v>60</v>
          </cell>
          <cell r="AM62" t="str">
            <v>ANTIOQUIA</v>
          </cell>
          <cell r="AR62" t="str">
            <v>0409</v>
          </cell>
        </row>
        <row r="63">
          <cell r="W63">
            <v>61</v>
          </cell>
          <cell r="AM63" t="str">
            <v>ANTIOQUIA</v>
          </cell>
          <cell r="AR63" t="str">
            <v>0410</v>
          </cell>
        </row>
        <row r="64">
          <cell r="W64">
            <v>62</v>
          </cell>
          <cell r="AM64" t="str">
            <v>ANTIOQUIA</v>
          </cell>
          <cell r="AR64" t="str">
            <v>0411</v>
          </cell>
        </row>
        <row r="65">
          <cell r="W65">
            <v>63</v>
          </cell>
          <cell r="AM65" t="str">
            <v>ANTIOQUIA</v>
          </cell>
          <cell r="AR65" t="str">
            <v>0412</v>
          </cell>
        </row>
        <row r="66">
          <cell r="W66">
            <v>64</v>
          </cell>
          <cell r="AM66" t="str">
            <v>ANTIOQUIA</v>
          </cell>
          <cell r="AR66" t="str">
            <v>0413</v>
          </cell>
        </row>
        <row r="67">
          <cell r="W67">
            <v>65</v>
          </cell>
          <cell r="AM67" t="str">
            <v>ANTIOQUIA</v>
          </cell>
          <cell r="AR67" t="str">
            <v>0414</v>
          </cell>
        </row>
        <row r="68">
          <cell r="W68">
            <v>66</v>
          </cell>
          <cell r="AM68" t="str">
            <v>ANTIOQUIA</v>
          </cell>
          <cell r="AR68" t="str">
            <v>0415</v>
          </cell>
        </row>
        <row r="69">
          <cell r="W69">
            <v>67</v>
          </cell>
          <cell r="AM69" t="str">
            <v>ANTIOQUIA</v>
          </cell>
          <cell r="AR69" t="str">
            <v>0416</v>
          </cell>
        </row>
        <row r="70">
          <cell r="W70">
            <v>68</v>
          </cell>
          <cell r="AM70" t="str">
            <v>ANTIOQUIA</v>
          </cell>
          <cell r="AR70" t="str">
            <v>0417</v>
          </cell>
        </row>
        <row r="71">
          <cell r="W71">
            <v>69</v>
          </cell>
          <cell r="AM71" t="str">
            <v>ANTIOQUIA</v>
          </cell>
          <cell r="AR71" t="str">
            <v>0501</v>
          </cell>
        </row>
        <row r="72">
          <cell r="W72">
            <v>70</v>
          </cell>
          <cell r="AM72" t="str">
            <v>ANTIOQUIA</v>
          </cell>
          <cell r="AR72" t="str">
            <v>0502</v>
          </cell>
        </row>
        <row r="73">
          <cell r="W73">
            <v>71</v>
          </cell>
          <cell r="AM73" t="str">
            <v>ANTIOQUIA</v>
          </cell>
          <cell r="AR73" t="str">
            <v>0503</v>
          </cell>
        </row>
        <row r="74">
          <cell r="W74">
            <v>72</v>
          </cell>
          <cell r="AM74" t="str">
            <v>ANTIOQUIA</v>
          </cell>
          <cell r="AR74" t="str">
            <v>0504</v>
          </cell>
        </row>
        <row r="75">
          <cell r="W75">
            <v>73</v>
          </cell>
          <cell r="AM75" t="str">
            <v>ANTIOQUIA</v>
          </cell>
          <cell r="AR75" t="str">
            <v>0505</v>
          </cell>
        </row>
        <row r="76">
          <cell r="W76">
            <v>74</v>
          </cell>
          <cell r="AM76" t="str">
            <v>ANTIOQUIA</v>
          </cell>
          <cell r="AR76" t="str">
            <v>0506</v>
          </cell>
        </row>
        <row r="77">
          <cell r="W77">
            <v>75</v>
          </cell>
          <cell r="AM77" t="str">
            <v>ANTIOQUIA</v>
          </cell>
          <cell r="AR77" t="str">
            <v>0507</v>
          </cell>
        </row>
        <row r="78">
          <cell r="W78">
            <v>76</v>
          </cell>
          <cell r="AM78" t="str">
            <v>ANTIOQUIA</v>
          </cell>
          <cell r="AR78" t="str">
            <v>0508</v>
          </cell>
        </row>
        <row r="79">
          <cell r="W79">
            <v>77</v>
          </cell>
          <cell r="AM79" t="str">
            <v>ANTIOQUIA</v>
          </cell>
          <cell r="AR79" t="str">
            <v>0509</v>
          </cell>
        </row>
        <row r="80">
          <cell r="W80">
            <v>78</v>
          </cell>
          <cell r="AM80" t="str">
            <v>ANTIOQUIA</v>
          </cell>
          <cell r="AR80" t="str">
            <v>0601</v>
          </cell>
        </row>
        <row r="81">
          <cell r="W81">
            <v>79</v>
          </cell>
          <cell r="AM81" t="str">
            <v>ANTIOQUIA</v>
          </cell>
          <cell r="AR81" t="str">
            <v>0602</v>
          </cell>
        </row>
        <row r="82">
          <cell r="W82">
            <v>80</v>
          </cell>
          <cell r="AM82" t="str">
            <v>ANTIOQUIA</v>
          </cell>
          <cell r="AR82" t="str">
            <v>0603</v>
          </cell>
        </row>
        <row r="83">
          <cell r="W83">
            <v>81</v>
          </cell>
          <cell r="AM83" t="str">
            <v>ANTIOQUIA</v>
          </cell>
          <cell r="AR83" t="str">
            <v>0604</v>
          </cell>
        </row>
        <row r="84">
          <cell r="W84">
            <v>82</v>
          </cell>
          <cell r="AM84" t="str">
            <v>ANTIOQUIA</v>
          </cell>
          <cell r="AR84" t="str">
            <v>0605</v>
          </cell>
        </row>
        <row r="85">
          <cell r="W85">
            <v>83</v>
          </cell>
          <cell r="AM85" t="str">
            <v>ANTIOQUIA</v>
          </cell>
          <cell r="AR85" t="str">
            <v>0606</v>
          </cell>
        </row>
        <row r="86">
          <cell r="W86">
            <v>84</v>
          </cell>
          <cell r="AM86" t="str">
            <v>ANTIOQUIA</v>
          </cell>
          <cell r="AR86" t="str">
            <v>0607</v>
          </cell>
        </row>
        <row r="87">
          <cell r="W87">
            <v>85</v>
          </cell>
          <cell r="AM87" t="str">
            <v>ANTIOQUIA</v>
          </cell>
          <cell r="AR87" t="str">
            <v>0608</v>
          </cell>
        </row>
        <row r="88">
          <cell r="W88">
            <v>86</v>
          </cell>
          <cell r="AM88" t="str">
            <v>ANTIOQUIA</v>
          </cell>
          <cell r="AR88" t="str">
            <v>0609</v>
          </cell>
        </row>
        <row r="89">
          <cell r="W89">
            <v>87</v>
          </cell>
          <cell r="AM89" t="str">
            <v>ANTIOQUIA</v>
          </cell>
          <cell r="AR89" t="str">
            <v>0610</v>
          </cell>
        </row>
        <row r="90">
          <cell r="W90">
            <v>88</v>
          </cell>
          <cell r="AM90" t="str">
            <v>ANTIOQUIA</v>
          </cell>
          <cell r="AR90" t="str">
            <v>0611</v>
          </cell>
        </row>
        <row r="91">
          <cell r="W91">
            <v>89</v>
          </cell>
          <cell r="AM91" t="str">
            <v>ANTIOQUIA</v>
          </cell>
          <cell r="AR91" t="str">
            <v>0701</v>
          </cell>
        </row>
        <row r="92">
          <cell r="W92">
            <v>90</v>
          </cell>
          <cell r="AM92" t="str">
            <v>ANTIOQUIA</v>
          </cell>
          <cell r="AR92" t="str">
            <v>0702</v>
          </cell>
        </row>
        <row r="93">
          <cell r="W93">
            <v>91</v>
          </cell>
          <cell r="AM93" t="str">
            <v>ANTIOQUIA</v>
          </cell>
          <cell r="AR93" t="str">
            <v>0703</v>
          </cell>
        </row>
        <row r="94">
          <cell r="W94">
            <v>92</v>
          </cell>
          <cell r="AM94" t="str">
            <v>ANTIOQUIA</v>
          </cell>
          <cell r="AR94" t="str">
            <v>0704</v>
          </cell>
        </row>
        <row r="95">
          <cell r="W95">
            <v>93</v>
          </cell>
          <cell r="AM95" t="str">
            <v>ANTIOQUIA</v>
          </cell>
          <cell r="AR95" t="str">
            <v>0705</v>
          </cell>
        </row>
        <row r="96">
          <cell r="W96">
            <v>94</v>
          </cell>
          <cell r="AM96" t="str">
            <v>ANTIOQUIA</v>
          </cell>
          <cell r="AR96" t="str">
            <v>0706</v>
          </cell>
        </row>
        <row r="97">
          <cell r="W97">
            <v>95</v>
          </cell>
          <cell r="AM97" t="str">
            <v>ANTIOQUIA</v>
          </cell>
          <cell r="AR97" t="str">
            <v>0707</v>
          </cell>
        </row>
        <row r="98">
          <cell r="W98">
            <v>96</v>
          </cell>
          <cell r="AM98" t="str">
            <v>ANTIOQUIA</v>
          </cell>
          <cell r="AR98" t="str">
            <v>0708</v>
          </cell>
        </row>
        <row r="99">
          <cell r="W99">
            <v>97</v>
          </cell>
          <cell r="AM99" t="str">
            <v>ANTIOQUIA</v>
          </cell>
          <cell r="AR99" t="str">
            <v>0709</v>
          </cell>
        </row>
        <row r="100">
          <cell r="W100">
            <v>98</v>
          </cell>
          <cell r="AM100" t="str">
            <v>ANTIOQUIA</v>
          </cell>
          <cell r="AR100" t="str">
            <v>0710</v>
          </cell>
        </row>
        <row r="101">
          <cell r="W101">
            <v>99</v>
          </cell>
          <cell r="AM101" t="str">
            <v>ANTIOQUIA</v>
          </cell>
          <cell r="AR101" t="str">
            <v>0711</v>
          </cell>
        </row>
        <row r="102">
          <cell r="W102">
            <v>100</v>
          </cell>
          <cell r="AM102" t="str">
            <v>ANTIOQUIA</v>
          </cell>
          <cell r="AR102" t="str">
            <v>0801</v>
          </cell>
        </row>
        <row r="103">
          <cell r="W103">
            <v>101</v>
          </cell>
          <cell r="AM103" t="str">
            <v>ANTIOQUIA</v>
          </cell>
          <cell r="AR103" t="str">
            <v>0802</v>
          </cell>
        </row>
        <row r="104">
          <cell r="W104">
            <v>102</v>
          </cell>
          <cell r="AM104" t="str">
            <v>ANTIOQUIA</v>
          </cell>
          <cell r="AR104" t="str">
            <v>0803</v>
          </cell>
        </row>
        <row r="105">
          <cell r="W105">
            <v>103</v>
          </cell>
          <cell r="AM105" t="str">
            <v>ANTIOQUIA</v>
          </cell>
          <cell r="AR105" t="str">
            <v>0804</v>
          </cell>
        </row>
        <row r="106">
          <cell r="W106">
            <v>104</v>
          </cell>
          <cell r="AM106" t="str">
            <v>ANTIOQUIA</v>
          </cell>
          <cell r="AR106" t="str">
            <v>0805</v>
          </cell>
        </row>
        <row r="107">
          <cell r="W107">
            <v>105</v>
          </cell>
          <cell r="AM107" t="str">
            <v>ANTIOQUIA</v>
          </cell>
          <cell r="AR107" t="str">
            <v>0806</v>
          </cell>
        </row>
        <row r="108">
          <cell r="W108">
            <v>106</v>
          </cell>
          <cell r="AM108" t="str">
            <v>ANTIOQUIA</v>
          </cell>
          <cell r="AR108" t="str">
            <v>0807</v>
          </cell>
        </row>
        <row r="109">
          <cell r="W109">
            <v>107</v>
          </cell>
          <cell r="AM109" t="str">
            <v>ANTIOQUIA</v>
          </cell>
          <cell r="AR109" t="str">
            <v>0808</v>
          </cell>
        </row>
        <row r="110">
          <cell r="W110">
            <v>108</v>
          </cell>
          <cell r="AM110" t="str">
            <v>ANTIOQUIA</v>
          </cell>
          <cell r="AR110" t="str">
            <v>0901</v>
          </cell>
        </row>
        <row r="111">
          <cell r="W111">
            <v>109</v>
          </cell>
          <cell r="AM111" t="str">
            <v>ANTIOQUIA</v>
          </cell>
          <cell r="AR111" t="str">
            <v>0902</v>
          </cell>
        </row>
        <row r="112">
          <cell r="W112">
            <v>110</v>
          </cell>
          <cell r="AM112" t="str">
            <v>ANTIOQUIA</v>
          </cell>
          <cell r="AR112" t="str">
            <v>0903</v>
          </cell>
        </row>
        <row r="113">
          <cell r="W113">
            <v>111</v>
          </cell>
          <cell r="AM113" t="str">
            <v>ANTIOQUIA</v>
          </cell>
          <cell r="AR113" t="str">
            <v>0904</v>
          </cell>
        </row>
        <row r="114">
          <cell r="W114">
            <v>112</v>
          </cell>
          <cell r="AM114" t="str">
            <v>ANTIOQUIA</v>
          </cell>
          <cell r="AR114" t="str">
            <v>0905</v>
          </cell>
        </row>
        <row r="115">
          <cell r="W115">
            <v>113</v>
          </cell>
          <cell r="AM115" t="str">
            <v>ANTIOQUIA</v>
          </cell>
          <cell r="AR115" t="str">
            <v>0906</v>
          </cell>
        </row>
        <row r="116">
          <cell r="W116">
            <v>114</v>
          </cell>
          <cell r="AM116" t="str">
            <v>ANTIOQUIA</v>
          </cell>
          <cell r="AR116" t="str">
            <v>0907</v>
          </cell>
        </row>
        <row r="117">
          <cell r="W117">
            <v>115</v>
          </cell>
          <cell r="AM117" t="str">
            <v>ANTIOQUIA</v>
          </cell>
          <cell r="AR117" t="str">
            <v>0908</v>
          </cell>
        </row>
        <row r="118">
          <cell r="W118">
            <v>116</v>
          </cell>
          <cell r="AM118" t="str">
            <v>ANTIOQUIA</v>
          </cell>
          <cell r="AR118" t="str">
            <v>0909</v>
          </cell>
        </row>
        <row r="119">
          <cell r="W119">
            <v>117</v>
          </cell>
          <cell r="AM119" t="str">
            <v>ANTIOQUIA</v>
          </cell>
          <cell r="AR119" t="str">
            <v>0910</v>
          </cell>
        </row>
        <row r="120">
          <cell r="W120">
            <v>118</v>
          </cell>
          <cell r="AM120" t="str">
            <v>ANTIOQUIA</v>
          </cell>
          <cell r="AR120" t="str">
            <v>0911</v>
          </cell>
        </row>
        <row r="121">
          <cell r="W121">
            <v>119</v>
          </cell>
          <cell r="AM121" t="str">
            <v>ANTIOQUIA</v>
          </cell>
          <cell r="AR121" t="str">
            <v>0912</v>
          </cell>
        </row>
        <row r="122">
          <cell r="W122">
            <v>120</v>
          </cell>
          <cell r="AM122" t="str">
            <v>ANTIOQUIA</v>
          </cell>
          <cell r="AR122" t="str">
            <v>0913</v>
          </cell>
        </row>
        <row r="123">
          <cell r="W123">
            <v>121</v>
          </cell>
          <cell r="AM123" t="str">
            <v>ANTIOQUIA</v>
          </cell>
          <cell r="AR123" t="str">
            <v>0914</v>
          </cell>
        </row>
        <row r="124">
          <cell r="W124">
            <v>122</v>
          </cell>
          <cell r="AM124" t="str">
            <v>ANTIOQUIA</v>
          </cell>
          <cell r="AR124" t="str">
            <v>0915</v>
          </cell>
        </row>
        <row r="125">
          <cell r="W125">
            <v>123</v>
          </cell>
          <cell r="AM125" t="str">
            <v>ANTIOQUIA</v>
          </cell>
          <cell r="AR125" t="str">
            <v>0916</v>
          </cell>
        </row>
        <row r="126">
          <cell r="W126">
            <v>124</v>
          </cell>
          <cell r="AM126" t="str">
            <v>ANTIOQUIA</v>
          </cell>
          <cell r="AR126" t="str">
            <v>0917</v>
          </cell>
        </row>
        <row r="127">
          <cell r="W127">
            <v>125</v>
          </cell>
          <cell r="AM127" t="str">
            <v>ANTIOQUIA</v>
          </cell>
          <cell r="AR127" t="str">
            <v>0918</v>
          </cell>
        </row>
        <row r="128">
          <cell r="W128">
            <v>126</v>
          </cell>
          <cell r="AM128" t="str">
            <v>ANTIOQUIA</v>
          </cell>
          <cell r="AR128" t="str">
            <v>0919</v>
          </cell>
        </row>
        <row r="129">
          <cell r="W129">
            <v>127</v>
          </cell>
          <cell r="AM129" t="str">
            <v>ANTIOQUIA</v>
          </cell>
          <cell r="AR129" t="str">
            <v>0920</v>
          </cell>
        </row>
        <row r="130">
          <cell r="W130">
            <v>128</v>
          </cell>
          <cell r="AM130" t="str">
            <v>ANTIOQUIA</v>
          </cell>
          <cell r="AR130" t="str">
            <v>1001</v>
          </cell>
        </row>
        <row r="131">
          <cell r="W131">
            <v>129</v>
          </cell>
          <cell r="AM131" t="str">
            <v>ANTIOQUIA</v>
          </cell>
          <cell r="AR131" t="str">
            <v>1002</v>
          </cell>
        </row>
        <row r="132">
          <cell r="W132">
            <v>130</v>
          </cell>
          <cell r="AM132" t="str">
            <v>ANTIOQUIA</v>
          </cell>
          <cell r="AR132" t="str">
            <v>1003</v>
          </cell>
        </row>
        <row r="133">
          <cell r="W133">
            <v>131</v>
          </cell>
          <cell r="AM133" t="str">
            <v>ANTIOQUIA</v>
          </cell>
          <cell r="AR133" t="str">
            <v>1004</v>
          </cell>
        </row>
        <row r="134">
          <cell r="W134">
            <v>132</v>
          </cell>
          <cell r="AM134" t="str">
            <v>ANTIOQUIA</v>
          </cell>
          <cell r="AR134" t="str">
            <v>1005</v>
          </cell>
        </row>
        <row r="135">
          <cell r="W135">
            <v>133</v>
          </cell>
          <cell r="AM135" t="str">
            <v>ANTIOQUIA</v>
          </cell>
          <cell r="AR135" t="str">
            <v>1006</v>
          </cell>
        </row>
        <row r="136">
          <cell r="W136">
            <v>134</v>
          </cell>
          <cell r="AM136" t="str">
            <v>ANTIOQUIA</v>
          </cell>
          <cell r="AR136" t="str">
            <v>1007</v>
          </cell>
        </row>
        <row r="137">
          <cell r="W137">
            <v>135</v>
          </cell>
          <cell r="AM137" t="str">
            <v>ANTIOQUIA</v>
          </cell>
          <cell r="AR137" t="str">
            <v>1008</v>
          </cell>
        </row>
        <row r="138">
          <cell r="W138">
            <v>136</v>
          </cell>
          <cell r="AM138" t="str">
            <v>ANTIOQUIA</v>
          </cell>
          <cell r="AR138" t="str">
            <v>1009</v>
          </cell>
        </row>
        <row r="139">
          <cell r="W139">
            <v>137</v>
          </cell>
          <cell r="AM139" t="str">
            <v>ANTIOQUIA</v>
          </cell>
          <cell r="AR139" t="str">
            <v>1010</v>
          </cell>
        </row>
        <row r="140">
          <cell r="W140">
            <v>138</v>
          </cell>
          <cell r="AM140" t="str">
            <v>ARAUCA</v>
          </cell>
          <cell r="AR140" t="str">
            <v>1011</v>
          </cell>
        </row>
        <row r="141">
          <cell r="W141">
            <v>139</v>
          </cell>
          <cell r="AM141" t="str">
            <v>ARAUCA</v>
          </cell>
          <cell r="AR141" t="str">
            <v>1012</v>
          </cell>
        </row>
        <row r="142">
          <cell r="W142">
            <v>140</v>
          </cell>
          <cell r="AM142" t="str">
            <v>ARAUCA</v>
          </cell>
          <cell r="AR142" t="str">
            <v>1013</v>
          </cell>
        </row>
        <row r="143">
          <cell r="W143">
            <v>141</v>
          </cell>
          <cell r="AM143" t="str">
            <v>ARAUCA</v>
          </cell>
          <cell r="AR143" t="str">
            <v>1014</v>
          </cell>
        </row>
        <row r="144">
          <cell r="W144">
            <v>142</v>
          </cell>
          <cell r="AM144" t="str">
            <v>ARAUCA</v>
          </cell>
          <cell r="AR144" t="str">
            <v>1101</v>
          </cell>
        </row>
        <row r="145">
          <cell r="W145">
            <v>143</v>
          </cell>
          <cell r="AM145" t="str">
            <v>ARAUCA</v>
          </cell>
          <cell r="AR145" t="str">
            <v>1102</v>
          </cell>
        </row>
        <row r="146">
          <cell r="W146">
            <v>144</v>
          </cell>
          <cell r="AM146" t="str">
            <v>ARAUCA</v>
          </cell>
          <cell r="AR146" t="str">
            <v>1103</v>
          </cell>
        </row>
        <row r="147">
          <cell r="W147">
            <v>145</v>
          </cell>
          <cell r="AM147" t="str">
            <v>ARAUCA</v>
          </cell>
          <cell r="AR147" t="str">
            <v>1104</v>
          </cell>
        </row>
        <row r="148">
          <cell r="W148">
            <v>146</v>
          </cell>
          <cell r="AM148" t="str">
            <v>ATLANTICO</v>
          </cell>
          <cell r="AR148" t="str">
            <v>1105</v>
          </cell>
        </row>
        <row r="149">
          <cell r="W149">
            <v>147</v>
          </cell>
          <cell r="AM149" t="str">
            <v>ATLANTICO</v>
          </cell>
          <cell r="AR149" t="str">
            <v>1106</v>
          </cell>
        </row>
        <row r="150">
          <cell r="W150">
            <v>148</v>
          </cell>
          <cell r="AM150" t="str">
            <v>ATLANTICO</v>
          </cell>
          <cell r="AR150" t="str">
            <v>1107</v>
          </cell>
        </row>
        <row r="151">
          <cell r="W151">
            <v>149</v>
          </cell>
          <cell r="AM151" t="str">
            <v>ATLANTICO</v>
          </cell>
          <cell r="AR151" t="str">
            <v>1108</v>
          </cell>
        </row>
        <row r="152">
          <cell r="W152">
            <v>150</v>
          </cell>
          <cell r="AM152" t="str">
            <v>ATLANTICO</v>
          </cell>
          <cell r="AR152" t="str">
            <v>1109</v>
          </cell>
        </row>
        <row r="153">
          <cell r="W153">
            <v>151</v>
          </cell>
          <cell r="AM153" t="str">
            <v>ATLANTICO</v>
          </cell>
          <cell r="AR153" t="str">
            <v>1110</v>
          </cell>
        </row>
        <row r="154">
          <cell r="W154">
            <v>152</v>
          </cell>
          <cell r="AM154" t="str">
            <v>ATLANTICO</v>
          </cell>
          <cell r="AR154" t="str">
            <v>1111</v>
          </cell>
        </row>
        <row r="155">
          <cell r="W155">
            <v>153</v>
          </cell>
          <cell r="AM155" t="str">
            <v>ATLANTICO</v>
          </cell>
          <cell r="AR155" t="str">
            <v>1112</v>
          </cell>
        </row>
        <row r="156">
          <cell r="W156">
            <v>154</v>
          </cell>
          <cell r="AM156" t="str">
            <v>ATLANTICO</v>
          </cell>
          <cell r="AR156" t="str">
            <v>1113</v>
          </cell>
        </row>
        <row r="157">
          <cell r="W157">
            <v>155</v>
          </cell>
          <cell r="AM157" t="str">
            <v>ATLANTICO</v>
          </cell>
          <cell r="AR157" t="str">
            <v>1114</v>
          </cell>
        </row>
        <row r="158">
          <cell r="W158">
            <v>156</v>
          </cell>
          <cell r="AM158" t="str">
            <v>ATLANTICO</v>
          </cell>
          <cell r="AR158" t="str">
            <v>1115</v>
          </cell>
        </row>
        <row r="159">
          <cell r="W159">
            <v>157</v>
          </cell>
          <cell r="AM159" t="str">
            <v>ATLANTICO</v>
          </cell>
          <cell r="AR159" t="str">
            <v>1116</v>
          </cell>
        </row>
        <row r="160">
          <cell r="W160">
            <v>158</v>
          </cell>
          <cell r="AM160" t="str">
            <v>ATLANTICO</v>
          </cell>
          <cell r="AR160" t="str">
            <v>1117</v>
          </cell>
        </row>
        <row r="161">
          <cell r="W161">
            <v>159</v>
          </cell>
          <cell r="AM161" t="str">
            <v>ATLANTICO</v>
          </cell>
          <cell r="AR161" t="str">
            <v>1201</v>
          </cell>
        </row>
        <row r="162">
          <cell r="W162">
            <v>160</v>
          </cell>
          <cell r="AM162" t="str">
            <v>ATLANTICO</v>
          </cell>
          <cell r="AR162" t="str">
            <v>1202</v>
          </cell>
        </row>
        <row r="163">
          <cell r="W163">
            <v>161</v>
          </cell>
          <cell r="AM163" t="str">
            <v>ATLANTICO</v>
          </cell>
          <cell r="AR163" t="str">
            <v>1203</v>
          </cell>
        </row>
        <row r="164">
          <cell r="W164">
            <v>162</v>
          </cell>
          <cell r="AM164" t="str">
            <v>ATLANTICO</v>
          </cell>
          <cell r="AR164" t="str">
            <v>1204</v>
          </cell>
        </row>
        <row r="165">
          <cell r="W165">
            <v>163</v>
          </cell>
          <cell r="AM165" t="str">
            <v>ATLANTICO</v>
          </cell>
          <cell r="AR165" t="str">
            <v>1205</v>
          </cell>
        </row>
        <row r="166">
          <cell r="W166">
            <v>164</v>
          </cell>
          <cell r="AM166" t="str">
            <v>ATLANTICO</v>
          </cell>
          <cell r="AR166" t="str">
            <v>1206</v>
          </cell>
        </row>
        <row r="167">
          <cell r="W167">
            <v>165</v>
          </cell>
          <cell r="AM167" t="str">
            <v>ATLANTICO</v>
          </cell>
          <cell r="AR167" t="str">
            <v>1301</v>
          </cell>
        </row>
        <row r="168">
          <cell r="W168">
            <v>166</v>
          </cell>
          <cell r="AM168" t="str">
            <v>ATLANTICO</v>
          </cell>
          <cell r="AR168" t="str">
            <v>1302</v>
          </cell>
        </row>
        <row r="169">
          <cell r="W169">
            <v>167</v>
          </cell>
          <cell r="AM169" t="str">
            <v>ATLANTICO</v>
          </cell>
          <cell r="AR169" t="str">
            <v>1303</v>
          </cell>
        </row>
        <row r="170">
          <cell r="W170">
            <v>168</v>
          </cell>
          <cell r="AM170" t="str">
            <v>ATLANTICO</v>
          </cell>
          <cell r="AR170" t="str">
            <v>1304</v>
          </cell>
        </row>
        <row r="171">
          <cell r="W171">
            <v>169</v>
          </cell>
          <cell r="AM171" t="str">
            <v>ATLANTICO</v>
          </cell>
          <cell r="AR171" t="str">
            <v>1305</v>
          </cell>
        </row>
        <row r="172">
          <cell r="W172">
            <v>170</v>
          </cell>
          <cell r="AM172" t="str">
            <v>BOGOTA D.C.</v>
          </cell>
          <cell r="AR172" t="str">
            <v>1306</v>
          </cell>
        </row>
        <row r="173">
          <cell r="W173">
            <v>171</v>
          </cell>
          <cell r="AM173" t="str">
            <v>BOGOTA</v>
          </cell>
          <cell r="AR173" t="str">
            <v>1307</v>
          </cell>
        </row>
        <row r="174">
          <cell r="W174">
            <v>172</v>
          </cell>
          <cell r="AM174" t="str">
            <v>BOLIVAR</v>
          </cell>
          <cell r="AR174" t="str">
            <v>1308</v>
          </cell>
        </row>
        <row r="175">
          <cell r="W175">
            <v>173</v>
          </cell>
          <cell r="AM175" t="str">
            <v>BOLIVAR</v>
          </cell>
          <cell r="AR175" t="str">
            <v>1309</v>
          </cell>
        </row>
        <row r="176">
          <cell r="W176">
            <v>174</v>
          </cell>
          <cell r="AM176" t="str">
            <v>BOLIVAR</v>
          </cell>
          <cell r="AR176" t="str">
            <v>1401</v>
          </cell>
        </row>
        <row r="177">
          <cell r="W177">
            <v>175</v>
          </cell>
          <cell r="AM177" t="str">
            <v>BOLIVAR</v>
          </cell>
          <cell r="AR177" t="str">
            <v>1402</v>
          </cell>
        </row>
        <row r="178">
          <cell r="W178">
            <v>176</v>
          </cell>
          <cell r="AM178" t="str">
            <v>BOLIVAR</v>
          </cell>
          <cell r="AR178" t="str">
            <v>1403</v>
          </cell>
        </row>
        <row r="179">
          <cell r="W179">
            <v>177</v>
          </cell>
          <cell r="AM179" t="str">
            <v>BOLIVAR</v>
          </cell>
          <cell r="AR179" t="str">
            <v>1404</v>
          </cell>
        </row>
        <row r="180">
          <cell r="W180">
            <v>178</v>
          </cell>
          <cell r="AM180" t="str">
            <v>BOLIVAR</v>
          </cell>
          <cell r="AR180" t="str">
            <v>1405</v>
          </cell>
        </row>
        <row r="181">
          <cell r="W181">
            <v>179</v>
          </cell>
          <cell r="AM181" t="str">
            <v>BOLIVAR</v>
          </cell>
          <cell r="AR181" t="str">
            <v>1406</v>
          </cell>
        </row>
        <row r="182">
          <cell r="W182">
            <v>180</v>
          </cell>
          <cell r="AM182" t="str">
            <v>BOLIVAR</v>
          </cell>
          <cell r="AR182" t="str">
            <v>1407</v>
          </cell>
        </row>
        <row r="183">
          <cell r="W183">
            <v>181</v>
          </cell>
          <cell r="AM183" t="str">
            <v>BOLIVAR</v>
          </cell>
          <cell r="AR183" t="str">
            <v>1408</v>
          </cell>
        </row>
        <row r="184">
          <cell r="W184">
            <v>182</v>
          </cell>
          <cell r="AM184" t="str">
            <v>BOLIVAR</v>
          </cell>
          <cell r="AR184" t="str">
            <v>1409</v>
          </cell>
        </row>
        <row r="185">
          <cell r="W185">
            <v>183</v>
          </cell>
          <cell r="AM185" t="str">
            <v>BOLIVAR</v>
          </cell>
          <cell r="AR185" t="str">
            <v>1410</v>
          </cell>
        </row>
        <row r="186">
          <cell r="W186">
            <v>184</v>
          </cell>
          <cell r="AM186" t="str">
            <v>BOLIVAR</v>
          </cell>
        </row>
        <row r="187">
          <cell r="W187">
            <v>185</v>
          </cell>
          <cell r="AM187" t="str">
            <v>BOLIVAR</v>
          </cell>
        </row>
        <row r="188">
          <cell r="W188">
            <v>186</v>
          </cell>
          <cell r="AM188" t="str">
            <v>BOLIVAR</v>
          </cell>
        </row>
        <row r="189">
          <cell r="W189">
            <v>187</v>
          </cell>
          <cell r="AM189" t="str">
            <v>BOLIVAR</v>
          </cell>
        </row>
        <row r="190">
          <cell r="W190">
            <v>188</v>
          </cell>
          <cell r="AM190" t="str">
            <v>BOLIVAR</v>
          </cell>
        </row>
        <row r="191">
          <cell r="W191">
            <v>189</v>
          </cell>
          <cell r="AM191" t="str">
            <v>BOLIVAR</v>
          </cell>
        </row>
        <row r="192">
          <cell r="W192">
            <v>190</v>
          </cell>
          <cell r="AM192" t="str">
            <v>BOLIVAR</v>
          </cell>
        </row>
        <row r="193">
          <cell r="W193">
            <v>191</v>
          </cell>
          <cell r="AM193" t="str">
            <v>BOLIVAR</v>
          </cell>
        </row>
        <row r="194">
          <cell r="W194">
            <v>192</v>
          </cell>
          <cell r="AM194" t="str">
            <v>BOLIVAR</v>
          </cell>
        </row>
        <row r="195">
          <cell r="W195">
            <v>193</v>
          </cell>
          <cell r="AM195" t="str">
            <v>BOLIVAR</v>
          </cell>
        </row>
        <row r="196">
          <cell r="W196">
            <v>194</v>
          </cell>
          <cell r="AM196" t="str">
            <v>BOLIVAR</v>
          </cell>
        </row>
        <row r="197">
          <cell r="W197">
            <v>195</v>
          </cell>
          <cell r="AM197" t="str">
            <v>BOLIVAR</v>
          </cell>
        </row>
        <row r="198">
          <cell r="W198">
            <v>196</v>
          </cell>
          <cell r="AM198" t="str">
            <v>BOLIVAR</v>
          </cell>
        </row>
        <row r="199">
          <cell r="W199">
            <v>197</v>
          </cell>
          <cell r="AM199" t="str">
            <v>BOLIVAR</v>
          </cell>
        </row>
        <row r="200">
          <cell r="W200">
            <v>198</v>
          </cell>
          <cell r="AM200" t="str">
            <v>BOLIVAR</v>
          </cell>
        </row>
        <row r="201">
          <cell r="W201">
            <v>199</v>
          </cell>
          <cell r="AM201" t="str">
            <v>BOLIVAR</v>
          </cell>
        </row>
        <row r="202">
          <cell r="W202">
            <v>200</v>
          </cell>
          <cell r="AM202" t="str">
            <v>BOLIVAR</v>
          </cell>
        </row>
        <row r="203">
          <cell r="W203">
            <v>201</v>
          </cell>
          <cell r="AM203" t="str">
            <v>BOLIVAR</v>
          </cell>
        </row>
        <row r="204">
          <cell r="W204">
            <v>202</v>
          </cell>
          <cell r="AM204" t="str">
            <v>BOLIVAR</v>
          </cell>
        </row>
        <row r="205">
          <cell r="W205">
            <v>203</v>
          </cell>
          <cell r="AM205" t="str">
            <v>BOLIVAR</v>
          </cell>
        </row>
        <row r="206">
          <cell r="W206">
            <v>204</v>
          </cell>
          <cell r="AM206" t="str">
            <v>BOLIVAR</v>
          </cell>
        </row>
        <row r="207">
          <cell r="W207">
            <v>205</v>
          </cell>
          <cell r="AM207" t="str">
            <v>BOLIVAR</v>
          </cell>
        </row>
        <row r="208">
          <cell r="W208">
            <v>206</v>
          </cell>
          <cell r="AM208" t="str">
            <v>BOLIVAR</v>
          </cell>
        </row>
        <row r="209">
          <cell r="W209">
            <v>207</v>
          </cell>
          <cell r="AM209" t="str">
            <v>BOLIVAR</v>
          </cell>
        </row>
        <row r="210">
          <cell r="W210">
            <v>208</v>
          </cell>
          <cell r="AM210" t="str">
            <v>BOLIVAR</v>
          </cell>
        </row>
        <row r="211">
          <cell r="W211">
            <v>209</v>
          </cell>
          <cell r="AM211" t="str">
            <v>BOLIVAR</v>
          </cell>
        </row>
        <row r="212">
          <cell r="W212">
            <v>210</v>
          </cell>
          <cell r="AM212" t="str">
            <v>BOLIVAR</v>
          </cell>
        </row>
        <row r="213">
          <cell r="W213">
            <v>211</v>
          </cell>
          <cell r="AM213" t="str">
            <v>BOLIVAR</v>
          </cell>
        </row>
        <row r="214">
          <cell r="W214">
            <v>212</v>
          </cell>
          <cell r="AM214" t="str">
            <v>BOLIVAR</v>
          </cell>
        </row>
        <row r="215">
          <cell r="W215">
            <v>213</v>
          </cell>
          <cell r="AM215" t="str">
            <v>BOLIVAR</v>
          </cell>
        </row>
        <row r="216">
          <cell r="W216">
            <v>214</v>
          </cell>
          <cell r="AM216" t="str">
            <v>BOLIVAR</v>
          </cell>
        </row>
        <row r="217">
          <cell r="W217">
            <v>215</v>
          </cell>
          <cell r="AM217" t="str">
            <v>BOLIVAR</v>
          </cell>
        </row>
        <row r="218">
          <cell r="W218">
            <v>216</v>
          </cell>
          <cell r="AM218" t="str">
            <v>BOLIVAR</v>
          </cell>
        </row>
        <row r="219">
          <cell r="W219">
            <v>217</v>
          </cell>
          <cell r="AM219" t="str">
            <v>BOLIVAR</v>
          </cell>
        </row>
        <row r="220">
          <cell r="W220">
            <v>218</v>
          </cell>
          <cell r="AM220" t="str">
            <v>BOLIVAR</v>
          </cell>
        </row>
        <row r="221">
          <cell r="W221">
            <v>219</v>
          </cell>
          <cell r="AM221" t="str">
            <v>BOYACA</v>
          </cell>
        </row>
        <row r="222">
          <cell r="W222">
            <v>220</v>
          </cell>
          <cell r="AM222" t="str">
            <v>BOYACA</v>
          </cell>
        </row>
        <row r="223">
          <cell r="W223">
            <v>221</v>
          </cell>
          <cell r="AM223" t="str">
            <v>BOYACA</v>
          </cell>
        </row>
        <row r="224">
          <cell r="W224">
            <v>222</v>
          </cell>
          <cell r="AM224" t="str">
            <v>BOYACA</v>
          </cell>
        </row>
        <row r="225">
          <cell r="W225">
            <v>223</v>
          </cell>
          <cell r="AM225" t="str">
            <v>BOYACA</v>
          </cell>
        </row>
        <row r="226">
          <cell r="W226">
            <v>224</v>
          </cell>
          <cell r="AM226" t="str">
            <v>BOYACA</v>
          </cell>
        </row>
        <row r="227">
          <cell r="W227">
            <v>225</v>
          </cell>
          <cell r="AM227" t="str">
            <v>BOYACA</v>
          </cell>
        </row>
        <row r="228">
          <cell r="W228">
            <v>226</v>
          </cell>
          <cell r="AM228" t="str">
            <v>BOYACA</v>
          </cell>
        </row>
        <row r="229">
          <cell r="W229">
            <v>227</v>
          </cell>
          <cell r="AM229" t="str">
            <v>BOYACA</v>
          </cell>
        </row>
        <row r="230">
          <cell r="W230">
            <v>228</v>
          </cell>
          <cell r="AM230" t="str">
            <v>BOYACA</v>
          </cell>
        </row>
        <row r="231">
          <cell r="W231">
            <v>229</v>
          </cell>
          <cell r="AM231" t="str">
            <v>BOYACA</v>
          </cell>
        </row>
        <row r="232">
          <cell r="W232">
            <v>230</v>
          </cell>
          <cell r="AM232" t="str">
            <v>BOYACA</v>
          </cell>
        </row>
        <row r="233">
          <cell r="W233">
            <v>231</v>
          </cell>
          <cell r="AM233" t="str">
            <v>BOYACA</v>
          </cell>
        </row>
        <row r="234">
          <cell r="W234">
            <v>232</v>
          </cell>
          <cell r="AM234" t="str">
            <v>BOYACA</v>
          </cell>
        </row>
        <row r="235">
          <cell r="W235">
            <v>233</v>
          </cell>
          <cell r="AM235" t="str">
            <v>BOYACA</v>
          </cell>
        </row>
        <row r="236">
          <cell r="W236">
            <v>234</v>
          </cell>
          <cell r="AM236" t="str">
            <v>BOYACA</v>
          </cell>
        </row>
        <row r="237">
          <cell r="W237">
            <v>235</v>
          </cell>
          <cell r="AM237" t="str">
            <v>BOYACA</v>
          </cell>
        </row>
        <row r="238">
          <cell r="W238">
            <v>236</v>
          </cell>
          <cell r="AM238" t="str">
            <v>BOYACA</v>
          </cell>
        </row>
        <row r="239">
          <cell r="W239">
            <v>237</v>
          </cell>
          <cell r="AM239" t="str">
            <v>BOYACA</v>
          </cell>
        </row>
        <row r="240">
          <cell r="W240">
            <v>238</v>
          </cell>
          <cell r="AM240" t="str">
            <v>BOYACA</v>
          </cell>
        </row>
        <row r="241">
          <cell r="W241">
            <v>239</v>
          </cell>
          <cell r="AM241" t="str">
            <v>BOYACA</v>
          </cell>
        </row>
        <row r="242">
          <cell r="W242">
            <v>240</v>
          </cell>
          <cell r="AM242" t="str">
            <v>BOYACA</v>
          </cell>
        </row>
        <row r="243">
          <cell r="W243">
            <v>241</v>
          </cell>
          <cell r="AM243" t="str">
            <v>BOYACA</v>
          </cell>
        </row>
        <row r="244">
          <cell r="W244">
            <v>242</v>
          </cell>
          <cell r="AM244" t="str">
            <v>BOYACA</v>
          </cell>
        </row>
        <row r="245">
          <cell r="W245">
            <v>243</v>
          </cell>
          <cell r="AM245" t="str">
            <v>BOYACA</v>
          </cell>
        </row>
        <row r="246">
          <cell r="W246">
            <v>244</v>
          </cell>
          <cell r="AM246" t="str">
            <v>BOYACA</v>
          </cell>
        </row>
        <row r="247">
          <cell r="W247">
            <v>245</v>
          </cell>
          <cell r="AM247" t="str">
            <v>BOYACA</v>
          </cell>
        </row>
        <row r="248">
          <cell r="W248">
            <v>246</v>
          </cell>
          <cell r="AM248" t="str">
            <v>BOYACA</v>
          </cell>
        </row>
        <row r="249">
          <cell r="W249">
            <v>247</v>
          </cell>
          <cell r="AM249" t="str">
            <v>BOYACA</v>
          </cell>
        </row>
        <row r="250">
          <cell r="W250">
            <v>248</v>
          </cell>
          <cell r="AM250" t="str">
            <v>BOYACA</v>
          </cell>
        </row>
        <row r="251">
          <cell r="W251">
            <v>249</v>
          </cell>
          <cell r="AM251" t="str">
            <v>BOYACA</v>
          </cell>
        </row>
        <row r="252">
          <cell r="W252">
            <v>250</v>
          </cell>
          <cell r="AM252" t="str">
            <v>BOYACA</v>
          </cell>
        </row>
        <row r="253">
          <cell r="W253">
            <v>251</v>
          </cell>
          <cell r="AM253" t="str">
            <v>BOYACA</v>
          </cell>
        </row>
        <row r="254">
          <cell r="W254">
            <v>252</v>
          </cell>
          <cell r="AM254" t="str">
            <v>BOYACA</v>
          </cell>
        </row>
        <row r="255">
          <cell r="W255">
            <v>253</v>
          </cell>
          <cell r="AM255" t="str">
            <v>BOYACA</v>
          </cell>
        </row>
        <row r="256">
          <cell r="W256">
            <v>254</v>
          </cell>
          <cell r="AM256" t="str">
            <v>BOYACA</v>
          </cell>
        </row>
        <row r="257">
          <cell r="W257">
            <v>255</v>
          </cell>
          <cell r="AM257" t="str">
            <v>BOYACA</v>
          </cell>
        </row>
        <row r="258">
          <cell r="W258">
            <v>256</v>
          </cell>
          <cell r="AM258" t="str">
            <v>BOYACA</v>
          </cell>
        </row>
        <row r="259">
          <cell r="W259">
            <v>257</v>
          </cell>
          <cell r="AM259" t="str">
            <v>BOYACA</v>
          </cell>
        </row>
        <row r="260">
          <cell r="W260">
            <v>258</v>
          </cell>
          <cell r="AM260" t="str">
            <v>BOYACA</v>
          </cell>
        </row>
        <row r="261">
          <cell r="W261">
            <v>259</v>
          </cell>
          <cell r="AM261" t="str">
            <v>BOYACA</v>
          </cell>
        </row>
        <row r="262">
          <cell r="W262">
            <v>260</v>
          </cell>
          <cell r="AM262" t="str">
            <v>BOYACA</v>
          </cell>
        </row>
        <row r="263">
          <cell r="W263">
            <v>261</v>
          </cell>
          <cell r="AM263" t="str">
            <v>BOYACA</v>
          </cell>
        </row>
        <row r="264">
          <cell r="W264">
            <v>262</v>
          </cell>
          <cell r="AM264" t="str">
            <v>BOYACA</v>
          </cell>
        </row>
        <row r="265">
          <cell r="W265">
            <v>263</v>
          </cell>
          <cell r="AM265" t="str">
            <v>BOYACA</v>
          </cell>
        </row>
        <row r="266">
          <cell r="W266">
            <v>264</v>
          </cell>
          <cell r="AM266" t="str">
            <v>BOYACA</v>
          </cell>
        </row>
        <row r="267">
          <cell r="W267">
            <v>265</v>
          </cell>
          <cell r="AM267" t="str">
            <v>BOYACA</v>
          </cell>
        </row>
        <row r="268">
          <cell r="W268">
            <v>266</v>
          </cell>
          <cell r="AM268" t="str">
            <v>BOYACA</v>
          </cell>
        </row>
        <row r="269">
          <cell r="W269">
            <v>267</v>
          </cell>
          <cell r="AM269" t="str">
            <v>BOYACA</v>
          </cell>
        </row>
        <row r="270">
          <cell r="W270">
            <v>268</v>
          </cell>
          <cell r="AM270" t="str">
            <v>BOYACA</v>
          </cell>
        </row>
        <row r="271">
          <cell r="W271">
            <v>269</v>
          </cell>
          <cell r="AM271" t="str">
            <v>BOYACA</v>
          </cell>
        </row>
        <row r="272">
          <cell r="W272">
            <v>270</v>
          </cell>
          <cell r="AM272" t="str">
            <v>BOYACA</v>
          </cell>
        </row>
        <row r="273">
          <cell r="W273">
            <v>271</v>
          </cell>
          <cell r="AM273" t="str">
            <v>BOYACA</v>
          </cell>
        </row>
        <row r="274">
          <cell r="W274">
            <v>272</v>
          </cell>
          <cell r="AM274" t="str">
            <v>BOYACA</v>
          </cell>
        </row>
        <row r="275">
          <cell r="W275">
            <v>273</v>
          </cell>
          <cell r="AM275" t="str">
            <v>BOYACA</v>
          </cell>
        </row>
        <row r="276">
          <cell r="W276">
            <v>274</v>
          </cell>
          <cell r="AM276" t="str">
            <v>BOYACA</v>
          </cell>
        </row>
        <row r="277">
          <cell r="W277">
            <v>275</v>
          </cell>
          <cell r="AM277" t="str">
            <v>BOYACA</v>
          </cell>
        </row>
        <row r="278">
          <cell r="W278">
            <v>276</v>
          </cell>
          <cell r="AM278" t="str">
            <v>BOYACA</v>
          </cell>
        </row>
        <row r="279">
          <cell r="W279">
            <v>277</v>
          </cell>
          <cell r="AM279" t="str">
            <v>BOYACA</v>
          </cell>
        </row>
        <row r="280">
          <cell r="W280">
            <v>278</v>
          </cell>
          <cell r="AM280" t="str">
            <v>BOYACA</v>
          </cell>
        </row>
        <row r="281">
          <cell r="W281">
            <v>279</v>
          </cell>
          <cell r="AM281" t="str">
            <v>BOYACA</v>
          </cell>
        </row>
        <row r="282">
          <cell r="W282">
            <v>280</v>
          </cell>
          <cell r="AM282" t="str">
            <v>BOYACA</v>
          </cell>
        </row>
        <row r="283">
          <cell r="W283">
            <v>281</v>
          </cell>
          <cell r="AM283" t="str">
            <v>BOYACA</v>
          </cell>
        </row>
        <row r="284">
          <cell r="W284">
            <v>282</v>
          </cell>
          <cell r="AM284" t="str">
            <v>BOYACA</v>
          </cell>
        </row>
        <row r="285">
          <cell r="W285">
            <v>283</v>
          </cell>
          <cell r="AM285" t="str">
            <v>BOYACA</v>
          </cell>
        </row>
        <row r="286">
          <cell r="W286">
            <v>284</v>
          </cell>
          <cell r="AM286" t="str">
            <v>BOYACA</v>
          </cell>
        </row>
        <row r="287">
          <cell r="W287">
            <v>285</v>
          </cell>
          <cell r="AM287" t="str">
            <v>BOYACA</v>
          </cell>
        </row>
        <row r="288">
          <cell r="W288">
            <v>286</v>
          </cell>
          <cell r="AM288" t="str">
            <v>BOYACA</v>
          </cell>
        </row>
        <row r="289">
          <cell r="W289">
            <v>287</v>
          </cell>
          <cell r="AM289" t="str">
            <v>BOYACA</v>
          </cell>
        </row>
        <row r="290">
          <cell r="W290">
            <v>288</v>
          </cell>
          <cell r="AM290" t="str">
            <v>BOYACA</v>
          </cell>
        </row>
        <row r="291">
          <cell r="W291">
            <v>289</v>
          </cell>
          <cell r="AM291" t="str">
            <v>BOYACA</v>
          </cell>
        </row>
        <row r="292">
          <cell r="W292">
            <v>290</v>
          </cell>
          <cell r="AM292" t="str">
            <v>BOYACA</v>
          </cell>
        </row>
        <row r="293">
          <cell r="W293">
            <v>291</v>
          </cell>
          <cell r="AM293" t="str">
            <v>BOYACA</v>
          </cell>
        </row>
        <row r="294">
          <cell r="W294">
            <v>292</v>
          </cell>
          <cell r="AM294" t="str">
            <v>BOYACA</v>
          </cell>
        </row>
        <row r="295">
          <cell r="W295">
            <v>293</v>
          </cell>
          <cell r="AM295" t="str">
            <v>BOYACA</v>
          </cell>
        </row>
        <row r="296">
          <cell r="W296">
            <v>294</v>
          </cell>
          <cell r="AM296" t="str">
            <v>BOYACA</v>
          </cell>
        </row>
        <row r="297">
          <cell r="W297">
            <v>295</v>
          </cell>
          <cell r="AM297" t="str">
            <v>BOYACA</v>
          </cell>
        </row>
        <row r="298">
          <cell r="W298">
            <v>296</v>
          </cell>
          <cell r="AM298" t="str">
            <v>BOYACA</v>
          </cell>
        </row>
        <row r="299">
          <cell r="W299">
            <v>297</v>
          </cell>
          <cell r="AM299" t="str">
            <v>BOYACA</v>
          </cell>
        </row>
        <row r="300">
          <cell r="W300">
            <v>298</v>
          </cell>
          <cell r="AM300" t="str">
            <v>BOYACA</v>
          </cell>
        </row>
        <row r="301">
          <cell r="W301">
            <v>299</v>
          </cell>
          <cell r="AM301" t="str">
            <v>BOYACA</v>
          </cell>
        </row>
        <row r="302">
          <cell r="W302">
            <v>300</v>
          </cell>
          <cell r="AM302" t="str">
            <v>BOYACA</v>
          </cell>
        </row>
        <row r="303">
          <cell r="W303">
            <v>301</v>
          </cell>
          <cell r="AM303" t="str">
            <v>BOYACA</v>
          </cell>
        </row>
        <row r="304">
          <cell r="W304">
            <v>302</v>
          </cell>
          <cell r="AM304" t="str">
            <v>BOYACA</v>
          </cell>
        </row>
        <row r="305">
          <cell r="W305">
            <v>303</v>
          </cell>
          <cell r="AM305" t="str">
            <v>BOYACA</v>
          </cell>
        </row>
        <row r="306">
          <cell r="W306">
            <v>304</v>
          </cell>
          <cell r="AM306" t="str">
            <v>BOYACA</v>
          </cell>
        </row>
        <row r="307">
          <cell r="W307">
            <v>305</v>
          </cell>
          <cell r="AM307" t="str">
            <v>BOYACA</v>
          </cell>
        </row>
        <row r="308">
          <cell r="W308">
            <v>306</v>
          </cell>
          <cell r="AM308" t="str">
            <v>BOYACA</v>
          </cell>
        </row>
        <row r="309">
          <cell r="W309">
            <v>307</v>
          </cell>
          <cell r="AM309" t="str">
            <v>BOYACA</v>
          </cell>
        </row>
        <row r="310">
          <cell r="W310">
            <v>308</v>
          </cell>
          <cell r="AM310" t="str">
            <v>BOYACA</v>
          </cell>
        </row>
        <row r="311">
          <cell r="W311">
            <v>309</v>
          </cell>
          <cell r="AM311" t="str">
            <v>BOYACA</v>
          </cell>
        </row>
        <row r="312">
          <cell r="W312">
            <v>310</v>
          </cell>
          <cell r="AM312" t="str">
            <v>BOYACA</v>
          </cell>
        </row>
        <row r="313">
          <cell r="W313">
            <v>311</v>
          </cell>
          <cell r="AM313" t="str">
            <v>BOYACA</v>
          </cell>
        </row>
        <row r="314">
          <cell r="W314">
            <v>312</v>
          </cell>
          <cell r="AM314" t="str">
            <v>BOYACA</v>
          </cell>
        </row>
        <row r="315">
          <cell r="W315">
            <v>313</v>
          </cell>
          <cell r="AM315" t="str">
            <v>BOYACA</v>
          </cell>
        </row>
        <row r="316">
          <cell r="W316">
            <v>314</v>
          </cell>
          <cell r="AM316" t="str">
            <v>BOYACA</v>
          </cell>
        </row>
        <row r="317">
          <cell r="W317">
            <v>315</v>
          </cell>
          <cell r="AM317" t="str">
            <v>BOYACA</v>
          </cell>
        </row>
        <row r="318">
          <cell r="W318">
            <v>316</v>
          </cell>
          <cell r="AM318" t="str">
            <v>BOYACA</v>
          </cell>
        </row>
        <row r="319">
          <cell r="W319">
            <v>317</v>
          </cell>
          <cell r="AM319" t="str">
            <v>BOYACA</v>
          </cell>
        </row>
        <row r="320">
          <cell r="W320">
            <v>318</v>
          </cell>
          <cell r="AM320" t="str">
            <v>BOYACA</v>
          </cell>
        </row>
        <row r="321">
          <cell r="W321">
            <v>319</v>
          </cell>
          <cell r="AM321" t="str">
            <v>BOYACA</v>
          </cell>
        </row>
        <row r="322">
          <cell r="W322">
            <v>320</v>
          </cell>
          <cell r="AM322" t="str">
            <v>BOYACA</v>
          </cell>
        </row>
        <row r="323">
          <cell r="W323">
            <v>321</v>
          </cell>
          <cell r="AM323" t="str">
            <v>BOYACA</v>
          </cell>
        </row>
        <row r="324">
          <cell r="W324">
            <v>322</v>
          </cell>
          <cell r="AM324" t="str">
            <v>BOYACA</v>
          </cell>
        </row>
        <row r="325">
          <cell r="W325">
            <v>323</v>
          </cell>
          <cell r="AM325" t="str">
            <v>BOYACA</v>
          </cell>
        </row>
        <row r="326">
          <cell r="W326">
            <v>324</v>
          </cell>
          <cell r="AM326" t="str">
            <v>BOYACA</v>
          </cell>
        </row>
        <row r="327">
          <cell r="W327">
            <v>325</v>
          </cell>
          <cell r="AM327" t="str">
            <v>BOYACA</v>
          </cell>
        </row>
        <row r="328">
          <cell r="W328">
            <v>326</v>
          </cell>
          <cell r="AM328" t="str">
            <v>BOYACA</v>
          </cell>
        </row>
        <row r="329">
          <cell r="W329">
            <v>327</v>
          </cell>
          <cell r="AM329" t="str">
            <v>BOYACA</v>
          </cell>
        </row>
        <row r="330">
          <cell r="W330">
            <v>328</v>
          </cell>
          <cell r="AM330" t="str">
            <v>BOYACA</v>
          </cell>
        </row>
        <row r="331">
          <cell r="W331">
            <v>329</v>
          </cell>
          <cell r="AM331" t="str">
            <v>BOYACA</v>
          </cell>
        </row>
        <row r="332">
          <cell r="W332">
            <v>330</v>
          </cell>
          <cell r="AM332" t="str">
            <v>BOYACA</v>
          </cell>
        </row>
        <row r="333">
          <cell r="W333">
            <v>331</v>
          </cell>
          <cell r="AM333" t="str">
            <v>BOYACA</v>
          </cell>
        </row>
        <row r="334">
          <cell r="W334">
            <v>332</v>
          </cell>
          <cell r="AM334" t="str">
            <v>BOYACA</v>
          </cell>
        </row>
        <row r="335">
          <cell r="W335">
            <v>333</v>
          </cell>
          <cell r="AM335" t="str">
            <v>BOYACA</v>
          </cell>
        </row>
        <row r="336">
          <cell r="W336">
            <v>334</v>
          </cell>
          <cell r="AM336" t="str">
            <v>BOYACA</v>
          </cell>
        </row>
        <row r="337">
          <cell r="W337">
            <v>335</v>
          </cell>
          <cell r="AM337" t="str">
            <v>BOYACA</v>
          </cell>
        </row>
        <row r="338">
          <cell r="W338">
            <v>336</v>
          </cell>
          <cell r="AM338" t="str">
            <v>BOYACA</v>
          </cell>
        </row>
        <row r="339">
          <cell r="W339">
            <v>337</v>
          </cell>
          <cell r="AM339" t="str">
            <v>BOYACA</v>
          </cell>
        </row>
        <row r="340">
          <cell r="W340">
            <v>338</v>
          </cell>
          <cell r="AM340" t="str">
            <v>BOYACA</v>
          </cell>
        </row>
        <row r="341">
          <cell r="W341">
            <v>339</v>
          </cell>
          <cell r="AM341" t="str">
            <v>BOYACA</v>
          </cell>
        </row>
        <row r="342">
          <cell r="W342">
            <v>340</v>
          </cell>
          <cell r="AM342" t="str">
            <v>BOYACA</v>
          </cell>
        </row>
        <row r="343">
          <cell r="W343">
            <v>341</v>
          </cell>
          <cell r="AM343" t="str">
            <v>BOYACA</v>
          </cell>
        </row>
        <row r="344">
          <cell r="W344">
            <v>342</v>
          </cell>
          <cell r="AM344" t="str">
            <v>BOYACA</v>
          </cell>
        </row>
        <row r="345">
          <cell r="W345">
            <v>343</v>
          </cell>
          <cell r="AM345" t="str">
            <v>CALDAS</v>
          </cell>
        </row>
        <row r="346">
          <cell r="W346">
            <v>344</v>
          </cell>
          <cell r="AM346" t="str">
            <v>CALDAS</v>
          </cell>
        </row>
        <row r="347">
          <cell r="W347">
            <v>345</v>
          </cell>
          <cell r="AM347" t="str">
            <v>CALDAS</v>
          </cell>
        </row>
        <row r="348">
          <cell r="W348">
            <v>346</v>
          </cell>
          <cell r="AM348" t="str">
            <v>CALDAS</v>
          </cell>
        </row>
        <row r="349">
          <cell r="W349">
            <v>347</v>
          </cell>
          <cell r="AM349" t="str">
            <v>CALDAS</v>
          </cell>
        </row>
        <row r="350">
          <cell r="W350">
            <v>348</v>
          </cell>
          <cell r="AM350" t="str">
            <v>CALDAS</v>
          </cell>
        </row>
        <row r="351">
          <cell r="W351">
            <v>349</v>
          </cell>
          <cell r="AM351" t="str">
            <v>CALDAS</v>
          </cell>
        </row>
        <row r="352">
          <cell r="W352">
            <v>350</v>
          </cell>
          <cell r="AM352" t="str">
            <v>CALDAS</v>
          </cell>
        </row>
        <row r="353">
          <cell r="W353">
            <v>351</v>
          </cell>
          <cell r="AM353" t="str">
            <v>CALDAS</v>
          </cell>
        </row>
        <row r="354">
          <cell r="W354">
            <v>352</v>
          </cell>
          <cell r="AM354" t="str">
            <v>CALDAS</v>
          </cell>
        </row>
        <row r="355">
          <cell r="W355">
            <v>353</v>
          </cell>
          <cell r="AM355" t="str">
            <v>CALDAS</v>
          </cell>
        </row>
        <row r="356">
          <cell r="W356">
            <v>354</v>
          </cell>
          <cell r="AM356" t="str">
            <v>CALDAS</v>
          </cell>
        </row>
        <row r="357">
          <cell r="W357">
            <v>355</v>
          </cell>
          <cell r="AM357" t="str">
            <v>CALDAS</v>
          </cell>
        </row>
        <row r="358">
          <cell r="W358">
            <v>356</v>
          </cell>
          <cell r="AM358" t="str">
            <v>CALDAS</v>
          </cell>
        </row>
        <row r="359">
          <cell r="W359">
            <v>357</v>
          </cell>
          <cell r="AM359" t="str">
            <v>CALDAS</v>
          </cell>
        </row>
        <row r="360">
          <cell r="W360">
            <v>358</v>
          </cell>
          <cell r="AM360" t="str">
            <v>CALDAS</v>
          </cell>
        </row>
        <row r="361">
          <cell r="W361">
            <v>359</v>
          </cell>
          <cell r="AM361" t="str">
            <v>CALDAS</v>
          </cell>
        </row>
        <row r="362">
          <cell r="W362">
            <v>360</v>
          </cell>
          <cell r="AM362" t="str">
            <v>CALDAS</v>
          </cell>
        </row>
        <row r="363">
          <cell r="W363">
            <v>361</v>
          </cell>
          <cell r="AM363" t="str">
            <v>CALDAS</v>
          </cell>
        </row>
        <row r="364">
          <cell r="W364">
            <v>362</v>
          </cell>
          <cell r="AM364" t="str">
            <v>CALDAS</v>
          </cell>
        </row>
        <row r="365">
          <cell r="W365">
            <v>363</v>
          </cell>
          <cell r="AM365" t="str">
            <v>CALDAS</v>
          </cell>
        </row>
        <row r="366">
          <cell r="W366">
            <v>364</v>
          </cell>
          <cell r="AM366" t="str">
            <v>CALDAS</v>
          </cell>
        </row>
        <row r="367">
          <cell r="W367">
            <v>365</v>
          </cell>
          <cell r="AM367" t="str">
            <v>CALDAS</v>
          </cell>
        </row>
        <row r="368">
          <cell r="W368">
            <v>366</v>
          </cell>
          <cell r="AM368" t="str">
            <v>CALDAS</v>
          </cell>
        </row>
        <row r="369">
          <cell r="W369">
            <v>367</v>
          </cell>
          <cell r="AM369" t="str">
            <v>CALDAS</v>
          </cell>
        </row>
        <row r="370">
          <cell r="W370">
            <v>368</v>
          </cell>
          <cell r="AM370" t="str">
            <v>CALDAS</v>
          </cell>
        </row>
        <row r="371">
          <cell r="W371">
            <v>369</v>
          </cell>
          <cell r="AM371" t="str">
            <v>CALDAS</v>
          </cell>
        </row>
        <row r="372">
          <cell r="W372">
            <v>370</v>
          </cell>
          <cell r="AM372" t="str">
            <v>CALDAS</v>
          </cell>
        </row>
        <row r="373">
          <cell r="W373">
            <v>371</v>
          </cell>
          <cell r="AM373" t="str">
            <v>CAQUETA</v>
          </cell>
        </row>
        <row r="374">
          <cell r="W374">
            <v>372</v>
          </cell>
          <cell r="AM374" t="str">
            <v>CAQUETA</v>
          </cell>
        </row>
        <row r="375">
          <cell r="W375">
            <v>373</v>
          </cell>
          <cell r="AM375" t="str">
            <v>CAQUETA</v>
          </cell>
        </row>
        <row r="376">
          <cell r="W376">
            <v>374</v>
          </cell>
          <cell r="AM376" t="str">
            <v>CAQUETA</v>
          </cell>
        </row>
        <row r="377">
          <cell r="W377">
            <v>375</v>
          </cell>
          <cell r="AM377" t="str">
            <v>CAQUETA</v>
          </cell>
        </row>
        <row r="378">
          <cell r="W378">
            <v>376</v>
          </cell>
          <cell r="AM378" t="str">
            <v>CAQUETA</v>
          </cell>
        </row>
        <row r="379">
          <cell r="W379">
            <v>377</v>
          </cell>
          <cell r="AM379" t="str">
            <v>CAQUETA</v>
          </cell>
        </row>
        <row r="380">
          <cell r="W380">
            <v>378</v>
          </cell>
          <cell r="AM380" t="str">
            <v>CAQUETA</v>
          </cell>
        </row>
        <row r="381">
          <cell r="W381">
            <v>379</v>
          </cell>
          <cell r="AM381" t="str">
            <v>CAQUETA</v>
          </cell>
        </row>
        <row r="382">
          <cell r="W382">
            <v>380</v>
          </cell>
          <cell r="AM382" t="str">
            <v>CAQUETA</v>
          </cell>
        </row>
        <row r="383">
          <cell r="W383">
            <v>381</v>
          </cell>
          <cell r="AM383" t="str">
            <v>CAQUETA</v>
          </cell>
        </row>
        <row r="384">
          <cell r="W384">
            <v>382</v>
          </cell>
          <cell r="AM384" t="str">
            <v>CAQUETA</v>
          </cell>
        </row>
        <row r="385">
          <cell r="W385">
            <v>383</v>
          </cell>
          <cell r="AM385" t="str">
            <v>CAQUETA</v>
          </cell>
        </row>
        <row r="386">
          <cell r="W386">
            <v>384</v>
          </cell>
          <cell r="AM386" t="str">
            <v>CAQUETA</v>
          </cell>
        </row>
        <row r="387">
          <cell r="W387">
            <v>385</v>
          </cell>
          <cell r="AM387" t="str">
            <v>CAQUETA</v>
          </cell>
        </row>
        <row r="388">
          <cell r="W388">
            <v>386</v>
          </cell>
          <cell r="AM388" t="str">
            <v>CAQUETA</v>
          </cell>
        </row>
        <row r="389">
          <cell r="W389">
            <v>387</v>
          </cell>
          <cell r="AM389" t="str">
            <v>CAQUETA</v>
          </cell>
        </row>
        <row r="390">
          <cell r="W390">
            <v>388</v>
          </cell>
          <cell r="AM390" t="str">
            <v>CASANARE</v>
          </cell>
        </row>
        <row r="391">
          <cell r="W391">
            <v>389</v>
          </cell>
          <cell r="AM391" t="str">
            <v>CASANARE</v>
          </cell>
        </row>
        <row r="392">
          <cell r="W392">
            <v>390</v>
          </cell>
          <cell r="AM392" t="str">
            <v>CASANARE</v>
          </cell>
        </row>
        <row r="393">
          <cell r="W393">
            <v>391</v>
          </cell>
          <cell r="AM393" t="str">
            <v>CASANARE</v>
          </cell>
        </row>
        <row r="394">
          <cell r="W394">
            <v>392</v>
          </cell>
          <cell r="AM394" t="str">
            <v>CASANARE</v>
          </cell>
        </row>
        <row r="395">
          <cell r="W395">
            <v>393</v>
          </cell>
          <cell r="AM395" t="str">
            <v>CASANARE</v>
          </cell>
        </row>
        <row r="396">
          <cell r="W396">
            <v>394</v>
          </cell>
          <cell r="AM396" t="str">
            <v>CASANARE</v>
          </cell>
        </row>
        <row r="397">
          <cell r="W397">
            <v>395</v>
          </cell>
          <cell r="AM397" t="str">
            <v>CASANARE</v>
          </cell>
        </row>
        <row r="398">
          <cell r="W398">
            <v>396</v>
          </cell>
          <cell r="AM398" t="str">
            <v>CASANARE</v>
          </cell>
        </row>
        <row r="399">
          <cell r="W399">
            <v>397</v>
          </cell>
          <cell r="AM399" t="str">
            <v>CASANARE</v>
          </cell>
        </row>
        <row r="400">
          <cell r="W400">
            <v>398</v>
          </cell>
          <cell r="AM400" t="str">
            <v>CASANARE</v>
          </cell>
        </row>
        <row r="401">
          <cell r="W401">
            <v>399</v>
          </cell>
          <cell r="AM401" t="str">
            <v>CASANARE</v>
          </cell>
        </row>
        <row r="402">
          <cell r="W402">
            <v>400</v>
          </cell>
          <cell r="AM402" t="str">
            <v>CASANARE</v>
          </cell>
        </row>
        <row r="403">
          <cell r="W403">
            <v>401</v>
          </cell>
          <cell r="AM403" t="str">
            <v>CASANARE</v>
          </cell>
        </row>
        <row r="404">
          <cell r="W404">
            <v>402</v>
          </cell>
          <cell r="AM404" t="str">
            <v>CASANARE</v>
          </cell>
        </row>
        <row r="405">
          <cell r="W405">
            <v>403</v>
          </cell>
          <cell r="AM405" t="str">
            <v>CASANARE</v>
          </cell>
        </row>
        <row r="406">
          <cell r="W406">
            <v>404</v>
          </cell>
          <cell r="AM406" t="str">
            <v>CASANARE</v>
          </cell>
        </row>
        <row r="407">
          <cell r="W407">
            <v>405</v>
          </cell>
          <cell r="AM407" t="str">
            <v>CASANARE</v>
          </cell>
        </row>
        <row r="408">
          <cell r="W408">
            <v>406</v>
          </cell>
          <cell r="AM408" t="str">
            <v>CASANARE</v>
          </cell>
        </row>
        <row r="409">
          <cell r="W409">
            <v>407</v>
          </cell>
          <cell r="AM409" t="str">
            <v>CASANARE</v>
          </cell>
        </row>
        <row r="410">
          <cell r="W410">
            <v>408</v>
          </cell>
          <cell r="AM410" t="str">
            <v>CAUCA</v>
          </cell>
        </row>
        <row r="411">
          <cell r="W411">
            <v>409</v>
          </cell>
          <cell r="AM411" t="str">
            <v>CAUCA</v>
          </cell>
        </row>
        <row r="412">
          <cell r="W412">
            <v>410</v>
          </cell>
          <cell r="AM412" t="str">
            <v>CAUCA</v>
          </cell>
        </row>
        <row r="413">
          <cell r="W413">
            <v>411</v>
          </cell>
          <cell r="AM413" t="str">
            <v>CAUCA</v>
          </cell>
        </row>
        <row r="414">
          <cell r="W414">
            <v>412</v>
          </cell>
          <cell r="AM414" t="str">
            <v>CAUCA</v>
          </cell>
        </row>
        <row r="415">
          <cell r="W415">
            <v>413</v>
          </cell>
          <cell r="AM415" t="str">
            <v>CAUCA</v>
          </cell>
        </row>
        <row r="416">
          <cell r="W416">
            <v>414</v>
          </cell>
          <cell r="AM416" t="str">
            <v>CAUCA</v>
          </cell>
        </row>
        <row r="417">
          <cell r="W417">
            <v>415</v>
          </cell>
          <cell r="AM417" t="str">
            <v>CAUCA</v>
          </cell>
        </row>
        <row r="418">
          <cell r="W418">
            <v>416</v>
          </cell>
          <cell r="AM418" t="str">
            <v>CAUCA</v>
          </cell>
        </row>
        <row r="419">
          <cell r="W419">
            <v>417</v>
          </cell>
          <cell r="AM419" t="str">
            <v>CAUCA</v>
          </cell>
        </row>
        <row r="420">
          <cell r="W420">
            <v>418</v>
          </cell>
          <cell r="AM420" t="str">
            <v>CAUCA</v>
          </cell>
        </row>
        <row r="421">
          <cell r="W421">
            <v>419</v>
          </cell>
          <cell r="AM421" t="str">
            <v>CAUCA</v>
          </cell>
        </row>
        <row r="422">
          <cell r="W422">
            <v>420</v>
          </cell>
          <cell r="AM422" t="str">
            <v>CAUCA</v>
          </cell>
        </row>
        <row r="423">
          <cell r="W423">
            <v>421</v>
          </cell>
          <cell r="AM423" t="str">
            <v>CAUCA</v>
          </cell>
        </row>
        <row r="424">
          <cell r="W424">
            <v>422</v>
          </cell>
          <cell r="AM424" t="str">
            <v>CAUCA</v>
          </cell>
        </row>
        <row r="425">
          <cell r="W425">
            <v>423</v>
          </cell>
          <cell r="AM425" t="str">
            <v>CAUCA</v>
          </cell>
        </row>
        <row r="426">
          <cell r="W426">
            <v>424</v>
          </cell>
          <cell r="AM426" t="str">
            <v>CAUCA</v>
          </cell>
        </row>
        <row r="427">
          <cell r="W427">
            <v>425</v>
          </cell>
          <cell r="AM427" t="str">
            <v>CAUCA</v>
          </cell>
        </row>
        <row r="428">
          <cell r="W428">
            <v>426</v>
          </cell>
          <cell r="AM428" t="str">
            <v>CAUCA</v>
          </cell>
        </row>
        <row r="429">
          <cell r="W429">
            <v>427</v>
          </cell>
          <cell r="AM429" t="str">
            <v>CAUCA</v>
          </cell>
        </row>
        <row r="430">
          <cell r="W430">
            <v>428</v>
          </cell>
          <cell r="AM430" t="str">
            <v>CAUCA</v>
          </cell>
        </row>
        <row r="431">
          <cell r="W431">
            <v>429</v>
          </cell>
          <cell r="AM431" t="str">
            <v>CAUCA</v>
          </cell>
        </row>
        <row r="432">
          <cell r="W432">
            <v>430</v>
          </cell>
          <cell r="AM432" t="str">
            <v>CAUCA</v>
          </cell>
        </row>
        <row r="433">
          <cell r="W433">
            <v>431</v>
          </cell>
          <cell r="AM433" t="str">
            <v>CAUCA</v>
          </cell>
        </row>
        <row r="434">
          <cell r="W434">
            <v>432</v>
          </cell>
          <cell r="AM434" t="str">
            <v>CAUCA</v>
          </cell>
        </row>
        <row r="435">
          <cell r="W435">
            <v>433</v>
          </cell>
          <cell r="AM435" t="str">
            <v>CAUCA</v>
          </cell>
        </row>
        <row r="436">
          <cell r="W436">
            <v>434</v>
          </cell>
          <cell r="AM436" t="str">
            <v>CAUCA</v>
          </cell>
        </row>
        <row r="437">
          <cell r="W437">
            <v>435</v>
          </cell>
          <cell r="AM437" t="str">
            <v>CAUCA</v>
          </cell>
        </row>
        <row r="438">
          <cell r="W438">
            <v>436</v>
          </cell>
          <cell r="AM438" t="str">
            <v>CAUCA</v>
          </cell>
        </row>
        <row r="439">
          <cell r="W439">
            <v>437</v>
          </cell>
          <cell r="AM439" t="str">
            <v>CAUCA</v>
          </cell>
        </row>
        <row r="440">
          <cell r="W440">
            <v>438</v>
          </cell>
          <cell r="AM440" t="str">
            <v>CAUCA</v>
          </cell>
        </row>
        <row r="441">
          <cell r="W441">
            <v>439</v>
          </cell>
          <cell r="AM441" t="str">
            <v>CAUCA</v>
          </cell>
        </row>
        <row r="442">
          <cell r="W442">
            <v>440</v>
          </cell>
          <cell r="AM442" t="str">
            <v>CAUCA</v>
          </cell>
        </row>
        <row r="443">
          <cell r="W443">
            <v>441</v>
          </cell>
          <cell r="AM443" t="str">
            <v>CAUCA</v>
          </cell>
        </row>
        <row r="444">
          <cell r="W444">
            <v>442</v>
          </cell>
          <cell r="AM444" t="str">
            <v>CAUCA</v>
          </cell>
        </row>
        <row r="445">
          <cell r="W445">
            <v>443</v>
          </cell>
          <cell r="AM445" t="str">
            <v>CAUCA</v>
          </cell>
        </row>
        <row r="446">
          <cell r="W446">
            <v>444</v>
          </cell>
          <cell r="AM446" t="str">
            <v>CAUCA</v>
          </cell>
        </row>
        <row r="447">
          <cell r="W447">
            <v>445</v>
          </cell>
          <cell r="AM447" t="str">
            <v>CAUCA</v>
          </cell>
        </row>
        <row r="448">
          <cell r="W448">
            <v>446</v>
          </cell>
          <cell r="AM448" t="str">
            <v>CAUCA</v>
          </cell>
        </row>
        <row r="449">
          <cell r="W449">
            <v>447</v>
          </cell>
          <cell r="AM449" t="str">
            <v>CAUCA</v>
          </cell>
        </row>
        <row r="450">
          <cell r="W450">
            <v>448</v>
          </cell>
          <cell r="AM450" t="str">
            <v>CAUCA</v>
          </cell>
        </row>
        <row r="451">
          <cell r="W451">
            <v>449</v>
          </cell>
          <cell r="AM451" t="str">
            <v>CAUCA</v>
          </cell>
        </row>
        <row r="452">
          <cell r="W452">
            <v>450</v>
          </cell>
          <cell r="AM452" t="str">
            <v>CAUCA</v>
          </cell>
        </row>
        <row r="453">
          <cell r="W453">
            <v>451</v>
          </cell>
          <cell r="AM453" t="str">
            <v>CESAR</v>
          </cell>
        </row>
        <row r="454">
          <cell r="W454">
            <v>452</v>
          </cell>
          <cell r="AM454" t="str">
            <v>CESAR</v>
          </cell>
        </row>
        <row r="455">
          <cell r="W455">
            <v>453</v>
          </cell>
          <cell r="AM455" t="str">
            <v>CESAR</v>
          </cell>
        </row>
        <row r="456">
          <cell r="W456">
            <v>454</v>
          </cell>
          <cell r="AM456" t="str">
            <v>CESAR</v>
          </cell>
        </row>
        <row r="457">
          <cell r="W457">
            <v>455</v>
          </cell>
          <cell r="AM457" t="str">
            <v>CESAR</v>
          </cell>
        </row>
        <row r="458">
          <cell r="W458">
            <v>456</v>
          </cell>
          <cell r="AM458" t="str">
            <v>CESAR</v>
          </cell>
        </row>
        <row r="459">
          <cell r="W459">
            <v>457</v>
          </cell>
          <cell r="AM459" t="str">
            <v>CESAR</v>
          </cell>
        </row>
        <row r="460">
          <cell r="W460">
            <v>458</v>
          </cell>
          <cell r="AM460" t="str">
            <v>CESAR</v>
          </cell>
        </row>
        <row r="461">
          <cell r="W461">
            <v>459</v>
          </cell>
          <cell r="AM461" t="str">
            <v>CESAR</v>
          </cell>
        </row>
        <row r="462">
          <cell r="W462">
            <v>460</v>
          </cell>
          <cell r="AM462" t="str">
            <v>CESAR</v>
          </cell>
        </row>
        <row r="463">
          <cell r="W463">
            <v>461</v>
          </cell>
          <cell r="AM463" t="str">
            <v>CESAR</v>
          </cell>
        </row>
        <row r="464">
          <cell r="W464">
            <v>462</v>
          </cell>
          <cell r="AM464" t="str">
            <v>CESAR</v>
          </cell>
        </row>
        <row r="465">
          <cell r="W465">
            <v>463</v>
          </cell>
          <cell r="AM465" t="str">
            <v>CESAR</v>
          </cell>
        </row>
        <row r="466">
          <cell r="W466">
            <v>464</v>
          </cell>
          <cell r="AM466" t="str">
            <v>CESAR</v>
          </cell>
        </row>
        <row r="467">
          <cell r="W467">
            <v>465</v>
          </cell>
          <cell r="AM467" t="str">
            <v>CESAR</v>
          </cell>
        </row>
        <row r="468">
          <cell r="W468">
            <v>466</v>
          </cell>
          <cell r="AM468" t="str">
            <v>CESAR</v>
          </cell>
        </row>
        <row r="469">
          <cell r="W469">
            <v>467</v>
          </cell>
          <cell r="AM469" t="str">
            <v>CESAR</v>
          </cell>
        </row>
        <row r="470">
          <cell r="W470">
            <v>468</v>
          </cell>
          <cell r="AM470" t="str">
            <v>CESAR</v>
          </cell>
        </row>
        <row r="471">
          <cell r="W471">
            <v>469</v>
          </cell>
          <cell r="AM471" t="str">
            <v>CESAR</v>
          </cell>
        </row>
        <row r="472">
          <cell r="W472">
            <v>470</v>
          </cell>
          <cell r="AM472" t="str">
            <v>CESAR</v>
          </cell>
        </row>
        <row r="473">
          <cell r="W473">
            <v>471</v>
          </cell>
          <cell r="AM473" t="str">
            <v>CESAR</v>
          </cell>
        </row>
        <row r="474">
          <cell r="W474">
            <v>472</v>
          </cell>
          <cell r="AM474" t="str">
            <v>CESAR</v>
          </cell>
        </row>
        <row r="475">
          <cell r="W475">
            <v>473</v>
          </cell>
          <cell r="AM475" t="str">
            <v>CESAR</v>
          </cell>
        </row>
        <row r="476">
          <cell r="W476">
            <v>474</v>
          </cell>
          <cell r="AM476" t="str">
            <v>CESAR</v>
          </cell>
        </row>
        <row r="477">
          <cell r="W477">
            <v>475</v>
          </cell>
          <cell r="AM477" t="str">
            <v>CESAR</v>
          </cell>
        </row>
        <row r="478">
          <cell r="W478">
            <v>476</v>
          </cell>
          <cell r="AM478" t="str">
            <v>CESAR</v>
          </cell>
        </row>
        <row r="479">
          <cell r="W479">
            <v>477</v>
          </cell>
          <cell r="AM479" t="str">
            <v>CHOCO</v>
          </cell>
        </row>
        <row r="480">
          <cell r="W480">
            <v>478</v>
          </cell>
          <cell r="AM480" t="str">
            <v>CHOCO</v>
          </cell>
        </row>
        <row r="481">
          <cell r="W481">
            <v>479</v>
          </cell>
          <cell r="AM481" t="str">
            <v>CHOCO</v>
          </cell>
        </row>
        <row r="482">
          <cell r="W482">
            <v>480</v>
          </cell>
          <cell r="AM482" t="str">
            <v>CHOCO</v>
          </cell>
        </row>
        <row r="483">
          <cell r="W483">
            <v>481</v>
          </cell>
          <cell r="AM483" t="str">
            <v>CHOCO</v>
          </cell>
        </row>
        <row r="484">
          <cell r="W484">
            <v>482</v>
          </cell>
          <cell r="AM484" t="str">
            <v>CHOCO</v>
          </cell>
        </row>
        <row r="485">
          <cell r="W485">
            <v>483</v>
          </cell>
          <cell r="AM485" t="str">
            <v>CHOCO</v>
          </cell>
        </row>
        <row r="486">
          <cell r="W486">
            <v>484</v>
          </cell>
          <cell r="AM486" t="str">
            <v>CHOCO</v>
          </cell>
        </row>
        <row r="487">
          <cell r="W487">
            <v>485</v>
          </cell>
          <cell r="AM487" t="str">
            <v>CHOCO</v>
          </cell>
        </row>
        <row r="488">
          <cell r="W488">
            <v>486</v>
          </cell>
          <cell r="AM488" t="str">
            <v>CHOCO</v>
          </cell>
        </row>
        <row r="489">
          <cell r="W489">
            <v>487</v>
          </cell>
          <cell r="AM489" t="str">
            <v>CHOCO</v>
          </cell>
        </row>
        <row r="490">
          <cell r="W490">
            <v>488</v>
          </cell>
          <cell r="AM490" t="str">
            <v>CHOCO</v>
          </cell>
        </row>
        <row r="491">
          <cell r="W491">
            <v>489</v>
          </cell>
          <cell r="AM491" t="str">
            <v>CHOCO</v>
          </cell>
        </row>
        <row r="492">
          <cell r="W492">
            <v>490</v>
          </cell>
          <cell r="AM492" t="str">
            <v>CHOCO</v>
          </cell>
        </row>
        <row r="493">
          <cell r="W493">
            <v>491</v>
          </cell>
          <cell r="AM493" t="str">
            <v>CHOCO</v>
          </cell>
        </row>
        <row r="494">
          <cell r="W494">
            <v>492</v>
          </cell>
          <cell r="AM494" t="str">
            <v>CHOCO</v>
          </cell>
        </row>
        <row r="495">
          <cell r="W495">
            <v>493</v>
          </cell>
          <cell r="AM495" t="str">
            <v>CHOCO</v>
          </cell>
        </row>
        <row r="496">
          <cell r="W496">
            <v>494</v>
          </cell>
          <cell r="AM496" t="str">
            <v>CHOCO</v>
          </cell>
        </row>
        <row r="497">
          <cell r="W497">
            <v>495</v>
          </cell>
          <cell r="AM497" t="str">
            <v>CHOCO</v>
          </cell>
        </row>
        <row r="498">
          <cell r="W498">
            <v>496</v>
          </cell>
          <cell r="AM498" t="str">
            <v>CHOCO</v>
          </cell>
        </row>
        <row r="499">
          <cell r="W499">
            <v>497</v>
          </cell>
          <cell r="AM499" t="str">
            <v>CHOCO</v>
          </cell>
        </row>
        <row r="500">
          <cell r="W500">
            <v>498</v>
          </cell>
          <cell r="AM500" t="str">
            <v>CHOCO</v>
          </cell>
        </row>
        <row r="501">
          <cell r="W501">
            <v>499</v>
          </cell>
          <cell r="AM501" t="str">
            <v>CHOCO</v>
          </cell>
        </row>
        <row r="502">
          <cell r="W502">
            <v>500</v>
          </cell>
          <cell r="AM502" t="str">
            <v>CHOCO</v>
          </cell>
        </row>
        <row r="503">
          <cell r="W503">
            <v>501</v>
          </cell>
          <cell r="AM503" t="str">
            <v>CHOCO</v>
          </cell>
        </row>
        <row r="504">
          <cell r="W504">
            <v>502</v>
          </cell>
          <cell r="AM504" t="str">
            <v>CHOCO</v>
          </cell>
        </row>
        <row r="505">
          <cell r="W505">
            <v>503</v>
          </cell>
          <cell r="AM505" t="str">
            <v>CHOCO</v>
          </cell>
        </row>
        <row r="506">
          <cell r="W506">
            <v>504</v>
          </cell>
          <cell r="AM506" t="str">
            <v>CHOCO</v>
          </cell>
        </row>
        <row r="507">
          <cell r="W507">
            <v>505</v>
          </cell>
          <cell r="AM507" t="str">
            <v>CHOCO</v>
          </cell>
        </row>
        <row r="508">
          <cell r="W508">
            <v>506</v>
          </cell>
          <cell r="AM508" t="str">
            <v>CHOCO</v>
          </cell>
        </row>
        <row r="509">
          <cell r="W509">
            <v>507</v>
          </cell>
          <cell r="AM509" t="str">
            <v>CHOCO</v>
          </cell>
        </row>
        <row r="510">
          <cell r="W510">
            <v>508</v>
          </cell>
          <cell r="AM510" t="str">
            <v>CORDOBA</v>
          </cell>
        </row>
        <row r="511">
          <cell r="W511">
            <v>509</v>
          </cell>
          <cell r="AM511" t="str">
            <v>CORDOBA</v>
          </cell>
        </row>
        <row r="512">
          <cell r="W512">
            <v>510</v>
          </cell>
          <cell r="AM512" t="str">
            <v>CORDOBA</v>
          </cell>
        </row>
        <row r="513">
          <cell r="W513">
            <v>511</v>
          </cell>
          <cell r="AM513" t="str">
            <v>CORDOBA</v>
          </cell>
        </row>
        <row r="514">
          <cell r="W514">
            <v>512</v>
          </cell>
          <cell r="AM514" t="str">
            <v>CORDOBA</v>
          </cell>
        </row>
        <row r="515">
          <cell r="W515">
            <v>513</v>
          </cell>
          <cell r="AM515" t="str">
            <v>CORDOBA</v>
          </cell>
        </row>
        <row r="516">
          <cell r="W516">
            <v>514</v>
          </cell>
          <cell r="AM516" t="str">
            <v>CORDOBA</v>
          </cell>
        </row>
        <row r="517">
          <cell r="W517">
            <v>515</v>
          </cell>
          <cell r="AM517" t="str">
            <v>CORDOBA</v>
          </cell>
        </row>
        <row r="518">
          <cell r="W518">
            <v>516</v>
          </cell>
          <cell r="AM518" t="str">
            <v>CORDOBA</v>
          </cell>
        </row>
        <row r="519">
          <cell r="W519">
            <v>517</v>
          </cell>
          <cell r="AM519" t="str">
            <v>CORDOBA</v>
          </cell>
        </row>
        <row r="520">
          <cell r="W520">
            <v>518</v>
          </cell>
          <cell r="AM520" t="str">
            <v>CORDOBA</v>
          </cell>
        </row>
        <row r="521">
          <cell r="W521">
            <v>519</v>
          </cell>
          <cell r="AM521" t="str">
            <v>CORDOBA</v>
          </cell>
        </row>
        <row r="522">
          <cell r="W522">
            <v>520</v>
          </cell>
          <cell r="AM522" t="str">
            <v>CORDOBA</v>
          </cell>
        </row>
        <row r="523">
          <cell r="W523">
            <v>521</v>
          </cell>
          <cell r="AM523" t="str">
            <v>CORDOBA</v>
          </cell>
        </row>
        <row r="524">
          <cell r="W524">
            <v>522</v>
          </cell>
          <cell r="AM524" t="str">
            <v>CORDOBA</v>
          </cell>
        </row>
        <row r="525">
          <cell r="W525">
            <v>523</v>
          </cell>
          <cell r="AM525" t="str">
            <v>CORDOBA</v>
          </cell>
        </row>
        <row r="526">
          <cell r="W526">
            <v>524</v>
          </cell>
          <cell r="AM526" t="str">
            <v>CORDOBA</v>
          </cell>
        </row>
        <row r="527">
          <cell r="W527">
            <v>525</v>
          </cell>
          <cell r="AM527" t="str">
            <v>CORDOBA</v>
          </cell>
        </row>
        <row r="528">
          <cell r="W528">
            <v>526</v>
          </cell>
          <cell r="AM528" t="str">
            <v>CORDOBA</v>
          </cell>
        </row>
        <row r="529">
          <cell r="W529">
            <v>527</v>
          </cell>
          <cell r="AM529" t="str">
            <v>CORDOBA</v>
          </cell>
        </row>
        <row r="530">
          <cell r="W530">
            <v>528</v>
          </cell>
          <cell r="AM530" t="str">
            <v>CORDOBA</v>
          </cell>
        </row>
        <row r="531">
          <cell r="W531">
            <v>529</v>
          </cell>
          <cell r="AM531" t="str">
            <v>CORDOBA</v>
          </cell>
        </row>
        <row r="532">
          <cell r="W532">
            <v>530</v>
          </cell>
          <cell r="AM532" t="str">
            <v>CORDOBA</v>
          </cell>
        </row>
        <row r="533">
          <cell r="W533">
            <v>531</v>
          </cell>
          <cell r="AM533" t="str">
            <v>CORDOBA</v>
          </cell>
        </row>
        <row r="534">
          <cell r="W534">
            <v>532</v>
          </cell>
          <cell r="AM534" t="str">
            <v>CORDOBA</v>
          </cell>
        </row>
        <row r="535">
          <cell r="W535">
            <v>533</v>
          </cell>
          <cell r="AM535" t="str">
            <v>CORDOBA</v>
          </cell>
        </row>
        <row r="536">
          <cell r="W536">
            <v>534</v>
          </cell>
          <cell r="AM536" t="str">
            <v>CORDOBA</v>
          </cell>
        </row>
        <row r="537">
          <cell r="W537">
            <v>535</v>
          </cell>
          <cell r="AM537" t="str">
            <v>CORDOBA</v>
          </cell>
        </row>
        <row r="538">
          <cell r="W538">
            <v>536</v>
          </cell>
          <cell r="AM538" t="str">
            <v>CORDOBA</v>
          </cell>
        </row>
        <row r="539">
          <cell r="W539">
            <v>537</v>
          </cell>
          <cell r="AM539" t="str">
            <v>CORDOBA</v>
          </cell>
        </row>
        <row r="540">
          <cell r="W540">
            <v>538</v>
          </cell>
          <cell r="AM540" t="str">
            <v>CORDOBA</v>
          </cell>
        </row>
        <row r="541">
          <cell r="W541">
            <v>539</v>
          </cell>
          <cell r="AM541" t="str">
            <v>CUNDINAMARCA</v>
          </cell>
        </row>
        <row r="542">
          <cell r="W542">
            <v>540</v>
          </cell>
          <cell r="AM542" t="str">
            <v>CUNDINAMARCA</v>
          </cell>
        </row>
        <row r="543">
          <cell r="W543">
            <v>541</v>
          </cell>
          <cell r="AM543" t="str">
            <v>CUNDINAMARCA</v>
          </cell>
        </row>
        <row r="544">
          <cell r="W544">
            <v>542</v>
          </cell>
          <cell r="AM544" t="str">
            <v>CUNDINAMARCA</v>
          </cell>
        </row>
        <row r="545">
          <cell r="W545">
            <v>543</v>
          </cell>
          <cell r="AM545" t="str">
            <v>CUNDINAMARCA</v>
          </cell>
        </row>
        <row r="546">
          <cell r="W546">
            <v>544</v>
          </cell>
          <cell r="AM546" t="str">
            <v>CUNDINAMARCA</v>
          </cell>
        </row>
        <row r="547">
          <cell r="W547">
            <v>545</v>
          </cell>
          <cell r="AM547" t="str">
            <v>CUNDINAMARCA</v>
          </cell>
        </row>
        <row r="548">
          <cell r="W548">
            <v>546</v>
          </cell>
          <cell r="AM548" t="str">
            <v>CUNDINAMARCA</v>
          </cell>
        </row>
        <row r="549">
          <cell r="W549">
            <v>547</v>
          </cell>
          <cell r="AM549" t="str">
            <v>CUNDINAMARCA</v>
          </cell>
        </row>
        <row r="550">
          <cell r="W550">
            <v>548</v>
          </cell>
          <cell r="AM550" t="str">
            <v>CUNDINAMARCA</v>
          </cell>
        </row>
        <row r="551">
          <cell r="W551">
            <v>549</v>
          </cell>
          <cell r="AM551" t="str">
            <v>CUNDINAMARCA</v>
          </cell>
        </row>
        <row r="552">
          <cell r="W552">
            <v>550</v>
          </cell>
          <cell r="AM552" t="str">
            <v>CUNDINAMARCA</v>
          </cell>
        </row>
        <row r="553">
          <cell r="W553">
            <v>551</v>
          </cell>
          <cell r="AM553" t="str">
            <v>CUNDINAMARCA</v>
          </cell>
        </row>
        <row r="554">
          <cell r="W554">
            <v>552</v>
          </cell>
          <cell r="AM554" t="str">
            <v>CUNDINAMARCA</v>
          </cell>
        </row>
        <row r="555">
          <cell r="W555">
            <v>553</v>
          </cell>
          <cell r="AM555" t="str">
            <v>CUNDINAMARCA</v>
          </cell>
        </row>
        <row r="556">
          <cell r="W556">
            <v>554</v>
          </cell>
          <cell r="AM556" t="str">
            <v>CUNDINAMARCA</v>
          </cell>
        </row>
        <row r="557">
          <cell r="W557">
            <v>555</v>
          </cell>
          <cell r="AM557" t="str">
            <v>CUNDINAMARCA</v>
          </cell>
        </row>
        <row r="558">
          <cell r="W558">
            <v>556</v>
          </cell>
          <cell r="AM558" t="str">
            <v>CUNDINAMARCA</v>
          </cell>
        </row>
        <row r="559">
          <cell r="W559">
            <v>557</v>
          </cell>
          <cell r="AM559" t="str">
            <v>CUNDINAMARCA</v>
          </cell>
        </row>
        <row r="560">
          <cell r="W560">
            <v>558</v>
          </cell>
          <cell r="AM560" t="str">
            <v>CUNDINAMARCA</v>
          </cell>
        </row>
        <row r="561">
          <cell r="W561">
            <v>559</v>
          </cell>
          <cell r="AM561" t="str">
            <v>CUNDINAMARCA</v>
          </cell>
        </row>
        <row r="562">
          <cell r="W562">
            <v>560</v>
          </cell>
          <cell r="AM562" t="str">
            <v>CUNDINAMARCA</v>
          </cell>
        </row>
        <row r="563">
          <cell r="W563">
            <v>561</v>
          </cell>
          <cell r="AM563" t="str">
            <v>CUNDINAMARCA</v>
          </cell>
        </row>
        <row r="564">
          <cell r="W564">
            <v>562</v>
          </cell>
          <cell r="AM564" t="str">
            <v>CUNDINAMARCA</v>
          </cell>
        </row>
        <row r="565">
          <cell r="W565">
            <v>563</v>
          </cell>
          <cell r="AM565" t="str">
            <v>CUNDINAMARCA</v>
          </cell>
        </row>
        <row r="566">
          <cell r="W566">
            <v>564</v>
          </cell>
          <cell r="AM566" t="str">
            <v>CUNDINAMARCA</v>
          </cell>
        </row>
        <row r="567">
          <cell r="W567">
            <v>565</v>
          </cell>
          <cell r="AM567" t="str">
            <v>CUNDINAMARCA</v>
          </cell>
        </row>
        <row r="568">
          <cell r="W568">
            <v>566</v>
          </cell>
          <cell r="AM568" t="str">
            <v>CUNDINAMARCA</v>
          </cell>
        </row>
        <row r="569">
          <cell r="W569">
            <v>567</v>
          </cell>
          <cell r="AM569" t="str">
            <v>CUNDINAMARCA</v>
          </cell>
        </row>
        <row r="570">
          <cell r="W570">
            <v>568</v>
          </cell>
          <cell r="AM570" t="str">
            <v>CUNDINAMARCA</v>
          </cell>
        </row>
        <row r="571">
          <cell r="W571">
            <v>569</v>
          </cell>
          <cell r="AM571" t="str">
            <v>CUNDINAMARCA</v>
          </cell>
        </row>
        <row r="572">
          <cell r="W572">
            <v>570</v>
          </cell>
          <cell r="AM572" t="str">
            <v>CUNDINAMARCA</v>
          </cell>
        </row>
        <row r="573">
          <cell r="W573">
            <v>571</v>
          </cell>
          <cell r="AM573" t="str">
            <v>CUNDINAMARCA</v>
          </cell>
        </row>
        <row r="574">
          <cell r="W574">
            <v>572</v>
          </cell>
          <cell r="AM574" t="str">
            <v>CUNDINAMARCA</v>
          </cell>
        </row>
        <row r="575">
          <cell r="W575">
            <v>573</v>
          </cell>
          <cell r="AM575" t="str">
            <v>CUNDINAMARCA</v>
          </cell>
        </row>
        <row r="576">
          <cell r="W576">
            <v>574</v>
          </cell>
          <cell r="AM576" t="str">
            <v>CUNDINAMARCA</v>
          </cell>
        </row>
        <row r="577">
          <cell r="W577">
            <v>575</v>
          </cell>
          <cell r="AM577" t="str">
            <v>CUNDINAMARCA</v>
          </cell>
        </row>
        <row r="578">
          <cell r="W578">
            <v>576</v>
          </cell>
          <cell r="AM578" t="str">
            <v>CUNDINAMARCA</v>
          </cell>
        </row>
        <row r="579">
          <cell r="W579">
            <v>577</v>
          </cell>
          <cell r="AM579" t="str">
            <v>CUNDINAMARCA</v>
          </cell>
        </row>
        <row r="580">
          <cell r="W580">
            <v>578</v>
          </cell>
          <cell r="AM580" t="str">
            <v>CUNDINAMARCA</v>
          </cell>
        </row>
        <row r="581">
          <cell r="W581">
            <v>579</v>
          </cell>
          <cell r="AM581" t="str">
            <v>CUNDINAMARCA</v>
          </cell>
        </row>
        <row r="582">
          <cell r="W582">
            <v>580</v>
          </cell>
          <cell r="AM582" t="str">
            <v>CUNDINAMARCA</v>
          </cell>
        </row>
        <row r="583">
          <cell r="W583">
            <v>581</v>
          </cell>
          <cell r="AM583" t="str">
            <v>CUNDINAMARCA</v>
          </cell>
        </row>
        <row r="584">
          <cell r="W584">
            <v>582</v>
          </cell>
          <cell r="AM584" t="str">
            <v>CUNDINAMARCA</v>
          </cell>
        </row>
        <row r="585">
          <cell r="W585">
            <v>583</v>
          </cell>
          <cell r="AM585" t="str">
            <v>CUNDINAMARCA</v>
          </cell>
        </row>
        <row r="586">
          <cell r="W586">
            <v>584</v>
          </cell>
          <cell r="AM586" t="str">
            <v>CUNDINAMARCA</v>
          </cell>
        </row>
        <row r="587">
          <cell r="W587">
            <v>585</v>
          </cell>
          <cell r="AM587" t="str">
            <v>CUNDINAMARCA</v>
          </cell>
        </row>
        <row r="588">
          <cell r="W588">
            <v>586</v>
          </cell>
          <cell r="AM588" t="str">
            <v>CUNDINAMARCA</v>
          </cell>
        </row>
        <row r="589">
          <cell r="W589">
            <v>587</v>
          </cell>
          <cell r="AM589" t="str">
            <v>CUNDINAMARCA</v>
          </cell>
        </row>
        <row r="590">
          <cell r="W590">
            <v>588</v>
          </cell>
          <cell r="AM590" t="str">
            <v>CUNDINAMARCA</v>
          </cell>
        </row>
        <row r="591">
          <cell r="W591">
            <v>589</v>
          </cell>
          <cell r="AM591" t="str">
            <v>CUNDINAMARCA</v>
          </cell>
        </row>
        <row r="592">
          <cell r="W592">
            <v>590</v>
          </cell>
          <cell r="AM592" t="str">
            <v>CUNDINAMARCA</v>
          </cell>
        </row>
        <row r="593">
          <cell r="W593">
            <v>591</v>
          </cell>
          <cell r="AM593" t="str">
            <v>CUNDINAMARCA</v>
          </cell>
        </row>
        <row r="594">
          <cell r="W594">
            <v>592</v>
          </cell>
          <cell r="AM594" t="str">
            <v>CUNDINAMARCA</v>
          </cell>
        </row>
        <row r="595">
          <cell r="W595">
            <v>593</v>
          </cell>
          <cell r="AM595" t="str">
            <v>CUNDINAMARCA</v>
          </cell>
        </row>
        <row r="596">
          <cell r="W596">
            <v>594</v>
          </cell>
          <cell r="AM596" t="str">
            <v>CUNDINAMARCA</v>
          </cell>
        </row>
        <row r="597">
          <cell r="W597">
            <v>595</v>
          </cell>
          <cell r="AM597" t="str">
            <v>CUNDINAMARCA</v>
          </cell>
        </row>
        <row r="598">
          <cell r="W598">
            <v>596</v>
          </cell>
          <cell r="AM598" t="str">
            <v>CUNDINAMARCA</v>
          </cell>
        </row>
        <row r="599">
          <cell r="W599">
            <v>597</v>
          </cell>
          <cell r="AM599" t="str">
            <v>CUNDINAMARCA</v>
          </cell>
        </row>
        <row r="600">
          <cell r="W600">
            <v>598</v>
          </cell>
          <cell r="AM600" t="str">
            <v>CUNDINAMARCA</v>
          </cell>
        </row>
        <row r="601">
          <cell r="W601">
            <v>599</v>
          </cell>
          <cell r="AM601" t="str">
            <v>CUNDINAMARCA</v>
          </cell>
        </row>
        <row r="602">
          <cell r="W602">
            <v>600</v>
          </cell>
          <cell r="AM602" t="str">
            <v>CUNDINAMARCA</v>
          </cell>
        </row>
        <row r="603">
          <cell r="W603">
            <v>601</v>
          </cell>
          <cell r="AM603" t="str">
            <v>CUNDINAMARCA</v>
          </cell>
        </row>
        <row r="604">
          <cell r="W604">
            <v>602</v>
          </cell>
          <cell r="AM604" t="str">
            <v>CUNDINAMARCA</v>
          </cell>
        </row>
        <row r="605">
          <cell r="W605">
            <v>603</v>
          </cell>
          <cell r="AM605" t="str">
            <v>CUNDINAMARCA</v>
          </cell>
        </row>
        <row r="606">
          <cell r="W606">
            <v>604</v>
          </cell>
          <cell r="AM606" t="str">
            <v>CUNDINAMARCA</v>
          </cell>
        </row>
        <row r="607">
          <cell r="W607">
            <v>605</v>
          </cell>
          <cell r="AM607" t="str">
            <v>CUNDINAMARCA</v>
          </cell>
        </row>
        <row r="608">
          <cell r="W608">
            <v>606</v>
          </cell>
          <cell r="AM608" t="str">
            <v>CUNDINAMARCA</v>
          </cell>
        </row>
        <row r="609">
          <cell r="W609">
            <v>607</v>
          </cell>
          <cell r="AM609" t="str">
            <v>CUNDINAMARCA</v>
          </cell>
        </row>
        <row r="610">
          <cell r="W610">
            <v>608</v>
          </cell>
          <cell r="AM610" t="str">
            <v>CUNDINAMARCA</v>
          </cell>
        </row>
        <row r="611">
          <cell r="W611">
            <v>609</v>
          </cell>
          <cell r="AM611" t="str">
            <v>CUNDINAMARCA</v>
          </cell>
        </row>
        <row r="612">
          <cell r="W612">
            <v>610</v>
          </cell>
          <cell r="AM612" t="str">
            <v>CUNDINAMARCA</v>
          </cell>
        </row>
        <row r="613">
          <cell r="W613">
            <v>611</v>
          </cell>
          <cell r="AM613" t="str">
            <v>CUNDINAMARCA</v>
          </cell>
        </row>
        <row r="614">
          <cell r="W614">
            <v>612</v>
          </cell>
          <cell r="AM614" t="str">
            <v>CUNDINAMARCA</v>
          </cell>
        </row>
        <row r="615">
          <cell r="W615">
            <v>613</v>
          </cell>
          <cell r="AM615" t="str">
            <v>CUNDINAMARCA</v>
          </cell>
        </row>
        <row r="616">
          <cell r="W616">
            <v>614</v>
          </cell>
          <cell r="AM616" t="str">
            <v>CUNDINAMARCA</v>
          </cell>
        </row>
        <row r="617">
          <cell r="W617">
            <v>615</v>
          </cell>
          <cell r="AM617" t="str">
            <v>CUNDINAMARCA</v>
          </cell>
        </row>
        <row r="618">
          <cell r="W618">
            <v>616</v>
          </cell>
          <cell r="AM618" t="str">
            <v>CUNDINAMARCA</v>
          </cell>
        </row>
        <row r="619">
          <cell r="W619">
            <v>617</v>
          </cell>
          <cell r="AM619" t="str">
            <v>CUNDINAMARCA</v>
          </cell>
        </row>
        <row r="620">
          <cell r="W620">
            <v>618</v>
          </cell>
          <cell r="AM620" t="str">
            <v>CUNDINAMARCA</v>
          </cell>
        </row>
        <row r="621">
          <cell r="W621">
            <v>619</v>
          </cell>
          <cell r="AM621" t="str">
            <v>CUNDINAMARCA</v>
          </cell>
        </row>
        <row r="622">
          <cell r="W622">
            <v>620</v>
          </cell>
          <cell r="AM622" t="str">
            <v>CUNDINAMARCA</v>
          </cell>
        </row>
        <row r="623">
          <cell r="W623">
            <v>621</v>
          </cell>
          <cell r="AM623" t="str">
            <v>CUNDINAMARCA</v>
          </cell>
        </row>
        <row r="624">
          <cell r="W624">
            <v>622</v>
          </cell>
          <cell r="AM624" t="str">
            <v>CUNDINAMARCA</v>
          </cell>
        </row>
        <row r="625">
          <cell r="W625">
            <v>623</v>
          </cell>
          <cell r="AM625" t="str">
            <v>CUNDINAMARCA</v>
          </cell>
        </row>
        <row r="626">
          <cell r="W626">
            <v>624</v>
          </cell>
          <cell r="AM626" t="str">
            <v>CUNDINAMARCA</v>
          </cell>
        </row>
        <row r="627">
          <cell r="W627">
            <v>625</v>
          </cell>
          <cell r="AM627" t="str">
            <v>CUNDINAMARCA</v>
          </cell>
        </row>
        <row r="628">
          <cell r="W628">
            <v>626</v>
          </cell>
          <cell r="AM628" t="str">
            <v>CUNDINAMARCA</v>
          </cell>
        </row>
        <row r="629">
          <cell r="W629">
            <v>627</v>
          </cell>
          <cell r="AM629" t="str">
            <v>CUNDINAMARCA</v>
          </cell>
        </row>
        <row r="630">
          <cell r="W630">
            <v>628</v>
          </cell>
          <cell r="AM630" t="str">
            <v>CUNDINAMARCA</v>
          </cell>
        </row>
        <row r="631">
          <cell r="W631">
            <v>629</v>
          </cell>
          <cell r="AM631" t="str">
            <v>CUNDINAMARCA</v>
          </cell>
        </row>
        <row r="632">
          <cell r="W632">
            <v>630</v>
          </cell>
          <cell r="AM632" t="str">
            <v>CUNDINAMARCA</v>
          </cell>
        </row>
        <row r="633">
          <cell r="W633">
            <v>631</v>
          </cell>
          <cell r="AM633" t="str">
            <v>CUNDINAMARCA</v>
          </cell>
        </row>
        <row r="634">
          <cell r="W634">
            <v>632</v>
          </cell>
          <cell r="AM634" t="str">
            <v>CUNDINAMARCA</v>
          </cell>
        </row>
        <row r="635">
          <cell r="W635">
            <v>633</v>
          </cell>
          <cell r="AM635" t="str">
            <v>CUNDINAMARCA</v>
          </cell>
        </row>
        <row r="636">
          <cell r="W636">
            <v>634</v>
          </cell>
          <cell r="AM636" t="str">
            <v>CUNDINAMARCA</v>
          </cell>
        </row>
        <row r="637">
          <cell r="W637">
            <v>635</v>
          </cell>
          <cell r="AM637" t="str">
            <v>CUNDINAMARCA</v>
          </cell>
        </row>
        <row r="638">
          <cell r="W638">
            <v>636</v>
          </cell>
          <cell r="AM638" t="str">
            <v>CUNDINAMARCA</v>
          </cell>
        </row>
        <row r="639">
          <cell r="W639">
            <v>637</v>
          </cell>
          <cell r="AM639" t="str">
            <v>CUNDINAMARCA</v>
          </cell>
        </row>
        <row r="640">
          <cell r="W640">
            <v>638</v>
          </cell>
          <cell r="AM640" t="str">
            <v>CUNDINAMARCA</v>
          </cell>
        </row>
        <row r="641">
          <cell r="W641">
            <v>639</v>
          </cell>
          <cell r="AM641" t="str">
            <v>CUNDINAMARCA</v>
          </cell>
        </row>
        <row r="642">
          <cell r="W642">
            <v>640</v>
          </cell>
          <cell r="AM642" t="str">
            <v>CUNDINAMARCA</v>
          </cell>
        </row>
        <row r="643">
          <cell r="W643">
            <v>641</v>
          </cell>
          <cell r="AM643" t="str">
            <v>CUNDINAMARCA</v>
          </cell>
        </row>
        <row r="644">
          <cell r="W644">
            <v>642</v>
          </cell>
          <cell r="AM644" t="str">
            <v>CUNDINAMARCA</v>
          </cell>
        </row>
        <row r="645">
          <cell r="W645">
            <v>643</v>
          </cell>
          <cell r="AM645" t="str">
            <v>CUNDINAMARCA</v>
          </cell>
        </row>
        <row r="646">
          <cell r="W646">
            <v>644</v>
          </cell>
          <cell r="AM646" t="str">
            <v>CUNDINAMARCA</v>
          </cell>
        </row>
        <row r="647">
          <cell r="W647">
            <v>645</v>
          </cell>
          <cell r="AM647" t="str">
            <v>CUNDINAMARCA</v>
          </cell>
        </row>
        <row r="648">
          <cell r="W648">
            <v>646</v>
          </cell>
          <cell r="AM648" t="str">
            <v>CUNDINAMARCA</v>
          </cell>
        </row>
        <row r="649">
          <cell r="W649">
            <v>647</v>
          </cell>
          <cell r="AM649" t="str">
            <v>CUNDINAMARCA</v>
          </cell>
        </row>
        <row r="650">
          <cell r="W650">
            <v>648</v>
          </cell>
          <cell r="AM650" t="str">
            <v>CUNDINAMARCA</v>
          </cell>
        </row>
        <row r="651">
          <cell r="W651">
            <v>649</v>
          </cell>
          <cell r="AM651" t="str">
            <v>CUNDINAMARCA</v>
          </cell>
        </row>
        <row r="652">
          <cell r="W652">
            <v>650</v>
          </cell>
          <cell r="AM652" t="str">
            <v>CUNDINAMARCA</v>
          </cell>
        </row>
        <row r="653">
          <cell r="W653">
            <v>651</v>
          </cell>
          <cell r="AM653" t="str">
            <v>CUNDINAMARCA</v>
          </cell>
        </row>
        <row r="654">
          <cell r="W654">
            <v>652</v>
          </cell>
          <cell r="AM654" t="str">
            <v>CUNDINAMARCA</v>
          </cell>
        </row>
        <row r="655">
          <cell r="W655">
            <v>653</v>
          </cell>
          <cell r="AM655" t="str">
            <v>CUNDINAMARCA</v>
          </cell>
        </row>
        <row r="656">
          <cell r="W656">
            <v>654</v>
          </cell>
          <cell r="AM656" t="str">
            <v>CUNDINAMARCA</v>
          </cell>
        </row>
        <row r="657">
          <cell r="W657">
            <v>655</v>
          </cell>
          <cell r="AM657" t="str">
            <v>CUNDINAMARCA</v>
          </cell>
        </row>
        <row r="658">
          <cell r="W658">
            <v>656</v>
          </cell>
          <cell r="AM658" t="str">
            <v>GUAINIA</v>
          </cell>
        </row>
        <row r="659">
          <cell r="W659">
            <v>657</v>
          </cell>
          <cell r="AM659" t="str">
            <v>GUAINIA</v>
          </cell>
        </row>
        <row r="660">
          <cell r="W660">
            <v>658</v>
          </cell>
          <cell r="AM660" t="str">
            <v>GUAINIA</v>
          </cell>
        </row>
        <row r="661">
          <cell r="W661">
            <v>659</v>
          </cell>
          <cell r="AM661" t="str">
            <v>GUAINIA</v>
          </cell>
        </row>
        <row r="662">
          <cell r="W662">
            <v>660</v>
          </cell>
          <cell r="AM662" t="str">
            <v>GUAINIA</v>
          </cell>
        </row>
        <row r="663">
          <cell r="W663">
            <v>661</v>
          </cell>
          <cell r="AM663" t="str">
            <v>GUAINIA</v>
          </cell>
        </row>
        <row r="664">
          <cell r="W664">
            <v>662</v>
          </cell>
          <cell r="AM664" t="str">
            <v>GUAINIA</v>
          </cell>
        </row>
        <row r="665">
          <cell r="W665">
            <v>663</v>
          </cell>
          <cell r="AM665" t="str">
            <v>GUAINIA</v>
          </cell>
        </row>
        <row r="666">
          <cell r="W666">
            <v>664</v>
          </cell>
          <cell r="AM666" t="str">
            <v>GUAINIA</v>
          </cell>
        </row>
        <row r="667">
          <cell r="W667">
            <v>665</v>
          </cell>
          <cell r="AM667" t="str">
            <v>GUAINIA</v>
          </cell>
        </row>
        <row r="668">
          <cell r="W668">
            <v>666</v>
          </cell>
          <cell r="AM668" t="str">
            <v>GUAVIARE</v>
          </cell>
        </row>
        <row r="669">
          <cell r="W669">
            <v>667</v>
          </cell>
          <cell r="AM669" t="str">
            <v>GUAVIARE</v>
          </cell>
        </row>
        <row r="670">
          <cell r="W670">
            <v>668</v>
          </cell>
          <cell r="AM670" t="str">
            <v>GUAVIARE</v>
          </cell>
        </row>
        <row r="671">
          <cell r="W671">
            <v>669</v>
          </cell>
          <cell r="AM671" t="str">
            <v>GUAVIARE</v>
          </cell>
        </row>
        <row r="672">
          <cell r="W672">
            <v>670</v>
          </cell>
          <cell r="AM672" t="str">
            <v>GUAVIARE</v>
          </cell>
        </row>
        <row r="673">
          <cell r="W673">
            <v>671</v>
          </cell>
          <cell r="AM673" t="str">
            <v>HUILA</v>
          </cell>
        </row>
        <row r="674">
          <cell r="W674">
            <v>672</v>
          </cell>
          <cell r="AM674" t="str">
            <v>HUILA</v>
          </cell>
        </row>
        <row r="675">
          <cell r="W675">
            <v>673</v>
          </cell>
          <cell r="AM675" t="str">
            <v>HUILA</v>
          </cell>
        </row>
        <row r="676">
          <cell r="W676">
            <v>674</v>
          </cell>
          <cell r="AM676" t="str">
            <v>HUILA</v>
          </cell>
        </row>
        <row r="677">
          <cell r="W677">
            <v>675</v>
          </cell>
          <cell r="AM677" t="str">
            <v>HUILA</v>
          </cell>
        </row>
        <row r="678">
          <cell r="W678">
            <v>676</v>
          </cell>
          <cell r="AM678" t="str">
            <v>HUILA</v>
          </cell>
        </row>
        <row r="679">
          <cell r="W679">
            <v>677</v>
          </cell>
          <cell r="AM679" t="str">
            <v>HUILA</v>
          </cell>
        </row>
        <row r="680">
          <cell r="W680">
            <v>678</v>
          </cell>
          <cell r="AM680" t="str">
            <v>HUILA</v>
          </cell>
        </row>
        <row r="681">
          <cell r="W681">
            <v>679</v>
          </cell>
          <cell r="AM681" t="str">
            <v>HUILA</v>
          </cell>
        </row>
        <row r="682">
          <cell r="W682">
            <v>680</v>
          </cell>
          <cell r="AM682" t="str">
            <v>HUILA</v>
          </cell>
        </row>
        <row r="683">
          <cell r="W683">
            <v>681</v>
          </cell>
          <cell r="AM683" t="str">
            <v>HUILA</v>
          </cell>
        </row>
        <row r="684">
          <cell r="W684">
            <v>682</v>
          </cell>
          <cell r="AM684" t="str">
            <v>HUILA</v>
          </cell>
        </row>
        <row r="685">
          <cell r="W685">
            <v>683</v>
          </cell>
          <cell r="AM685" t="str">
            <v>HUILA</v>
          </cell>
        </row>
        <row r="686">
          <cell r="W686">
            <v>684</v>
          </cell>
          <cell r="AM686" t="str">
            <v>HUILA</v>
          </cell>
        </row>
        <row r="687">
          <cell r="W687">
            <v>685</v>
          </cell>
          <cell r="AM687" t="str">
            <v>HUILA</v>
          </cell>
        </row>
        <row r="688">
          <cell r="W688">
            <v>686</v>
          </cell>
          <cell r="AM688" t="str">
            <v>HUILA</v>
          </cell>
        </row>
        <row r="689">
          <cell r="W689">
            <v>687</v>
          </cell>
          <cell r="AM689" t="str">
            <v>HUILA</v>
          </cell>
        </row>
        <row r="690">
          <cell r="W690">
            <v>688</v>
          </cell>
          <cell r="AM690" t="str">
            <v>HUILA</v>
          </cell>
        </row>
        <row r="691">
          <cell r="W691">
            <v>689</v>
          </cell>
          <cell r="AM691" t="str">
            <v>HUILA</v>
          </cell>
        </row>
        <row r="692">
          <cell r="W692">
            <v>690</v>
          </cell>
          <cell r="AM692" t="str">
            <v>HUILA</v>
          </cell>
        </row>
        <row r="693">
          <cell r="W693">
            <v>691</v>
          </cell>
          <cell r="AM693" t="str">
            <v>HUILA</v>
          </cell>
        </row>
        <row r="694">
          <cell r="W694">
            <v>692</v>
          </cell>
          <cell r="AM694" t="str">
            <v>HUILA</v>
          </cell>
        </row>
        <row r="695">
          <cell r="W695">
            <v>693</v>
          </cell>
          <cell r="AM695" t="str">
            <v>HUILA</v>
          </cell>
        </row>
        <row r="696">
          <cell r="W696">
            <v>694</v>
          </cell>
          <cell r="AM696" t="str">
            <v>HUILA</v>
          </cell>
        </row>
        <row r="697">
          <cell r="W697">
            <v>695</v>
          </cell>
          <cell r="AM697" t="str">
            <v>HUILA</v>
          </cell>
        </row>
        <row r="698">
          <cell r="W698">
            <v>696</v>
          </cell>
          <cell r="AM698" t="str">
            <v>HUILA</v>
          </cell>
        </row>
        <row r="699">
          <cell r="W699">
            <v>697</v>
          </cell>
          <cell r="AM699" t="str">
            <v>HUILA</v>
          </cell>
        </row>
        <row r="700">
          <cell r="W700">
            <v>698</v>
          </cell>
          <cell r="AM700" t="str">
            <v>HUILA</v>
          </cell>
        </row>
        <row r="701">
          <cell r="W701">
            <v>699</v>
          </cell>
          <cell r="AM701" t="str">
            <v>HUILA</v>
          </cell>
        </row>
        <row r="702">
          <cell r="W702">
            <v>700</v>
          </cell>
          <cell r="AM702" t="str">
            <v>HUILA</v>
          </cell>
        </row>
        <row r="703">
          <cell r="W703">
            <v>701</v>
          </cell>
          <cell r="AM703" t="str">
            <v>HUILA</v>
          </cell>
        </row>
        <row r="704">
          <cell r="W704">
            <v>702</v>
          </cell>
          <cell r="AM704" t="str">
            <v>HUILA</v>
          </cell>
        </row>
        <row r="705">
          <cell r="W705">
            <v>703</v>
          </cell>
          <cell r="AM705" t="str">
            <v>HUILA</v>
          </cell>
        </row>
        <row r="706">
          <cell r="W706">
            <v>704</v>
          </cell>
          <cell r="AM706" t="str">
            <v>HUILA</v>
          </cell>
        </row>
        <row r="707">
          <cell r="W707">
            <v>705</v>
          </cell>
          <cell r="AM707" t="str">
            <v>HUILA</v>
          </cell>
        </row>
        <row r="708">
          <cell r="W708">
            <v>706</v>
          </cell>
          <cell r="AM708" t="str">
            <v>HUILA</v>
          </cell>
        </row>
        <row r="709">
          <cell r="W709">
            <v>707</v>
          </cell>
          <cell r="AM709" t="str">
            <v>HUILA</v>
          </cell>
        </row>
        <row r="710">
          <cell r="W710">
            <v>708</v>
          </cell>
          <cell r="AM710" t="str">
            <v>HUILA</v>
          </cell>
        </row>
        <row r="711">
          <cell r="W711">
            <v>709</v>
          </cell>
          <cell r="AM711" t="str">
            <v>LA GUAJIRA</v>
          </cell>
        </row>
        <row r="712">
          <cell r="W712">
            <v>710</v>
          </cell>
          <cell r="AM712" t="str">
            <v>LA GUAJIRA</v>
          </cell>
        </row>
        <row r="713">
          <cell r="W713">
            <v>711</v>
          </cell>
          <cell r="AM713" t="str">
            <v>LA GUAJIRA</v>
          </cell>
        </row>
        <row r="714">
          <cell r="W714">
            <v>712</v>
          </cell>
          <cell r="AM714" t="str">
            <v>LA GUAJIRA</v>
          </cell>
        </row>
        <row r="715">
          <cell r="W715">
            <v>713</v>
          </cell>
          <cell r="AM715" t="str">
            <v>LA GUAJIRA</v>
          </cell>
        </row>
        <row r="716">
          <cell r="W716">
            <v>714</v>
          </cell>
          <cell r="AM716" t="str">
            <v>LA GUAJIRA</v>
          </cell>
        </row>
        <row r="717">
          <cell r="W717">
            <v>715</v>
          </cell>
          <cell r="AM717" t="str">
            <v>LA GUAJIRA</v>
          </cell>
        </row>
        <row r="718">
          <cell r="W718">
            <v>716</v>
          </cell>
          <cell r="AM718" t="str">
            <v>LA GUAJIRA</v>
          </cell>
        </row>
        <row r="719">
          <cell r="W719">
            <v>717</v>
          </cell>
          <cell r="AM719" t="str">
            <v>LA GUAJIRA</v>
          </cell>
        </row>
        <row r="720">
          <cell r="W720">
            <v>718</v>
          </cell>
          <cell r="AM720" t="str">
            <v>LA GUAJIRA</v>
          </cell>
        </row>
        <row r="721">
          <cell r="W721">
            <v>719</v>
          </cell>
          <cell r="AM721" t="str">
            <v>LA GUAJIRA</v>
          </cell>
        </row>
        <row r="722">
          <cell r="W722">
            <v>720</v>
          </cell>
          <cell r="AM722" t="str">
            <v>LA GUAJIRA</v>
          </cell>
        </row>
        <row r="723">
          <cell r="W723">
            <v>721</v>
          </cell>
          <cell r="AM723" t="str">
            <v>LA GUAJIRA</v>
          </cell>
        </row>
        <row r="724">
          <cell r="W724">
            <v>722</v>
          </cell>
          <cell r="AM724" t="str">
            <v>LA GUAJIRA</v>
          </cell>
        </row>
        <row r="725">
          <cell r="W725">
            <v>723</v>
          </cell>
          <cell r="AM725" t="str">
            <v>LA GUAJIRA</v>
          </cell>
        </row>
        <row r="726">
          <cell r="W726">
            <v>724</v>
          </cell>
          <cell r="AM726" t="str">
            <v>LA GUAJIRA</v>
          </cell>
        </row>
        <row r="727">
          <cell r="W727">
            <v>725</v>
          </cell>
          <cell r="AM727" t="str">
            <v>MAGDALENA</v>
          </cell>
        </row>
        <row r="728">
          <cell r="W728">
            <v>726</v>
          </cell>
          <cell r="AM728" t="str">
            <v>MAGDALENA</v>
          </cell>
        </row>
        <row r="729">
          <cell r="W729">
            <v>727</v>
          </cell>
          <cell r="AM729" t="str">
            <v>MAGDALENA</v>
          </cell>
        </row>
        <row r="730">
          <cell r="W730">
            <v>728</v>
          </cell>
          <cell r="AM730" t="str">
            <v>MAGDALENA</v>
          </cell>
        </row>
        <row r="731">
          <cell r="W731">
            <v>729</v>
          </cell>
          <cell r="AM731" t="str">
            <v>MAGDALENA</v>
          </cell>
        </row>
        <row r="732">
          <cell r="W732">
            <v>730</v>
          </cell>
          <cell r="AM732" t="str">
            <v>MAGDALENA</v>
          </cell>
        </row>
        <row r="733">
          <cell r="W733">
            <v>731</v>
          </cell>
          <cell r="AM733" t="str">
            <v>MAGDALENA</v>
          </cell>
        </row>
        <row r="734">
          <cell r="W734">
            <v>732</v>
          </cell>
          <cell r="AM734" t="str">
            <v>MAGDALENA</v>
          </cell>
        </row>
        <row r="735">
          <cell r="W735">
            <v>733</v>
          </cell>
          <cell r="AM735" t="str">
            <v>MAGDALENA</v>
          </cell>
        </row>
        <row r="736">
          <cell r="W736">
            <v>734</v>
          </cell>
          <cell r="AM736" t="str">
            <v>MAGDALENA</v>
          </cell>
        </row>
        <row r="737">
          <cell r="W737">
            <v>735</v>
          </cell>
          <cell r="AM737" t="str">
            <v>MAGDALENA</v>
          </cell>
        </row>
        <row r="738">
          <cell r="W738">
            <v>736</v>
          </cell>
          <cell r="AM738" t="str">
            <v>MAGDALENA</v>
          </cell>
        </row>
        <row r="739">
          <cell r="W739">
            <v>737</v>
          </cell>
          <cell r="AM739" t="str">
            <v>MAGDALENA</v>
          </cell>
        </row>
        <row r="740">
          <cell r="W740">
            <v>738</v>
          </cell>
          <cell r="AM740" t="str">
            <v>MAGDALENA</v>
          </cell>
        </row>
        <row r="741">
          <cell r="W741">
            <v>739</v>
          </cell>
          <cell r="AM741" t="str">
            <v>MAGDALENA</v>
          </cell>
        </row>
        <row r="742">
          <cell r="W742">
            <v>740</v>
          </cell>
          <cell r="AM742" t="str">
            <v>MAGDALENA</v>
          </cell>
        </row>
        <row r="743">
          <cell r="W743">
            <v>741</v>
          </cell>
          <cell r="AM743" t="str">
            <v>MAGDALENA</v>
          </cell>
        </row>
        <row r="744">
          <cell r="W744">
            <v>742</v>
          </cell>
          <cell r="AM744" t="str">
            <v>MAGDALENA</v>
          </cell>
        </row>
        <row r="745">
          <cell r="W745">
            <v>743</v>
          </cell>
          <cell r="AM745" t="str">
            <v>MAGDALENA</v>
          </cell>
        </row>
        <row r="746">
          <cell r="W746">
            <v>744</v>
          </cell>
          <cell r="AM746" t="str">
            <v>MAGDALENA</v>
          </cell>
        </row>
        <row r="747">
          <cell r="W747">
            <v>745</v>
          </cell>
          <cell r="AM747" t="str">
            <v>MAGDALENA</v>
          </cell>
        </row>
        <row r="748">
          <cell r="W748">
            <v>746</v>
          </cell>
          <cell r="AM748" t="str">
            <v>MAGDALENA</v>
          </cell>
        </row>
        <row r="749">
          <cell r="W749">
            <v>747</v>
          </cell>
          <cell r="AM749" t="str">
            <v>MAGDALENA</v>
          </cell>
        </row>
        <row r="750">
          <cell r="W750">
            <v>748</v>
          </cell>
          <cell r="AM750" t="str">
            <v>MAGDALENA</v>
          </cell>
        </row>
        <row r="751">
          <cell r="W751">
            <v>749</v>
          </cell>
          <cell r="AM751" t="str">
            <v>MAGDALENA</v>
          </cell>
        </row>
        <row r="752">
          <cell r="W752">
            <v>750</v>
          </cell>
          <cell r="AM752" t="str">
            <v>MAGDALENA</v>
          </cell>
        </row>
        <row r="753">
          <cell r="W753">
            <v>751</v>
          </cell>
          <cell r="AM753" t="str">
            <v>MAGDALENA</v>
          </cell>
        </row>
        <row r="754">
          <cell r="W754">
            <v>752</v>
          </cell>
          <cell r="AM754" t="str">
            <v>MAGDALENA</v>
          </cell>
        </row>
        <row r="755">
          <cell r="W755">
            <v>753</v>
          </cell>
          <cell r="AM755" t="str">
            <v>MAGDALENA</v>
          </cell>
        </row>
        <row r="756">
          <cell r="W756">
            <v>754</v>
          </cell>
          <cell r="AM756" t="str">
            <v>MAGDALENA</v>
          </cell>
        </row>
        <row r="757">
          <cell r="W757">
            <v>755</v>
          </cell>
          <cell r="AM757" t="str">
            <v>MAGDALENA</v>
          </cell>
        </row>
        <row r="758">
          <cell r="W758">
            <v>756</v>
          </cell>
          <cell r="AM758" t="str">
            <v>META</v>
          </cell>
        </row>
        <row r="759">
          <cell r="W759">
            <v>757</v>
          </cell>
          <cell r="AM759" t="str">
            <v>META</v>
          </cell>
        </row>
        <row r="760">
          <cell r="W760">
            <v>758</v>
          </cell>
          <cell r="AM760" t="str">
            <v>META</v>
          </cell>
        </row>
        <row r="761">
          <cell r="W761">
            <v>759</v>
          </cell>
          <cell r="AM761" t="str">
            <v>META</v>
          </cell>
        </row>
        <row r="762">
          <cell r="W762">
            <v>760</v>
          </cell>
          <cell r="AM762" t="str">
            <v>META</v>
          </cell>
        </row>
        <row r="763">
          <cell r="W763">
            <v>761</v>
          </cell>
          <cell r="AM763" t="str">
            <v>META</v>
          </cell>
        </row>
        <row r="764">
          <cell r="W764">
            <v>762</v>
          </cell>
          <cell r="AM764" t="str">
            <v>META</v>
          </cell>
        </row>
        <row r="765">
          <cell r="W765">
            <v>763</v>
          </cell>
          <cell r="AM765" t="str">
            <v>META</v>
          </cell>
        </row>
        <row r="766">
          <cell r="W766">
            <v>764</v>
          </cell>
          <cell r="AM766" t="str">
            <v>META</v>
          </cell>
        </row>
        <row r="767">
          <cell r="W767">
            <v>765</v>
          </cell>
          <cell r="AM767" t="str">
            <v>META</v>
          </cell>
        </row>
        <row r="768">
          <cell r="W768">
            <v>766</v>
          </cell>
          <cell r="AM768" t="str">
            <v>META</v>
          </cell>
        </row>
        <row r="769">
          <cell r="W769">
            <v>767</v>
          </cell>
          <cell r="AM769" t="str">
            <v>META</v>
          </cell>
        </row>
        <row r="770">
          <cell r="W770">
            <v>768</v>
          </cell>
          <cell r="AM770" t="str">
            <v>META</v>
          </cell>
        </row>
        <row r="771">
          <cell r="W771">
            <v>769</v>
          </cell>
          <cell r="AM771" t="str">
            <v>META</v>
          </cell>
        </row>
        <row r="772">
          <cell r="W772">
            <v>770</v>
          </cell>
          <cell r="AM772" t="str">
            <v>META</v>
          </cell>
        </row>
        <row r="773">
          <cell r="W773">
            <v>771</v>
          </cell>
          <cell r="AM773" t="str">
            <v>META</v>
          </cell>
        </row>
        <row r="774">
          <cell r="W774">
            <v>772</v>
          </cell>
          <cell r="AM774" t="str">
            <v>META</v>
          </cell>
        </row>
        <row r="775">
          <cell r="W775">
            <v>773</v>
          </cell>
          <cell r="AM775" t="str">
            <v>META</v>
          </cell>
        </row>
        <row r="776">
          <cell r="W776">
            <v>774</v>
          </cell>
          <cell r="AM776" t="str">
            <v>META</v>
          </cell>
        </row>
        <row r="777">
          <cell r="W777">
            <v>775</v>
          </cell>
          <cell r="AM777" t="str">
            <v>META</v>
          </cell>
        </row>
        <row r="778">
          <cell r="W778">
            <v>776</v>
          </cell>
          <cell r="AM778" t="str">
            <v>META</v>
          </cell>
        </row>
        <row r="779">
          <cell r="W779">
            <v>777</v>
          </cell>
          <cell r="AM779" t="str">
            <v>META</v>
          </cell>
        </row>
        <row r="780">
          <cell r="W780">
            <v>778</v>
          </cell>
          <cell r="AM780" t="str">
            <v>META</v>
          </cell>
        </row>
        <row r="781">
          <cell r="W781">
            <v>779</v>
          </cell>
          <cell r="AM781" t="str">
            <v>META</v>
          </cell>
        </row>
        <row r="782">
          <cell r="W782">
            <v>780</v>
          </cell>
          <cell r="AM782" t="str">
            <v>META</v>
          </cell>
        </row>
        <row r="783">
          <cell r="W783">
            <v>781</v>
          </cell>
          <cell r="AM783" t="str">
            <v>META</v>
          </cell>
        </row>
        <row r="784">
          <cell r="W784">
            <v>782</v>
          </cell>
          <cell r="AM784" t="str">
            <v>META</v>
          </cell>
        </row>
        <row r="785">
          <cell r="W785">
            <v>783</v>
          </cell>
          <cell r="AM785" t="str">
            <v>META</v>
          </cell>
        </row>
        <row r="786">
          <cell r="W786">
            <v>784</v>
          </cell>
          <cell r="AM786" t="str">
            <v>META</v>
          </cell>
        </row>
        <row r="787">
          <cell r="W787">
            <v>785</v>
          </cell>
          <cell r="AM787" t="str">
            <v>META</v>
          </cell>
        </row>
        <row r="788">
          <cell r="W788">
            <v>786</v>
          </cell>
          <cell r="AM788" t="str">
            <v>NARIÑO</v>
          </cell>
        </row>
        <row r="789">
          <cell r="W789">
            <v>787</v>
          </cell>
          <cell r="AM789" t="str">
            <v>NARIÑO</v>
          </cell>
        </row>
        <row r="790">
          <cell r="W790">
            <v>788</v>
          </cell>
          <cell r="AM790" t="str">
            <v>NARIÑO</v>
          </cell>
        </row>
        <row r="791">
          <cell r="W791">
            <v>789</v>
          </cell>
          <cell r="AM791" t="str">
            <v>NARIÑO</v>
          </cell>
        </row>
        <row r="792">
          <cell r="W792">
            <v>790</v>
          </cell>
          <cell r="AM792" t="str">
            <v>NARIÑO</v>
          </cell>
        </row>
        <row r="793">
          <cell r="W793">
            <v>791</v>
          </cell>
          <cell r="AM793" t="str">
            <v>NARIÑO</v>
          </cell>
        </row>
        <row r="794">
          <cell r="W794">
            <v>792</v>
          </cell>
          <cell r="AM794" t="str">
            <v>NARIÑO</v>
          </cell>
        </row>
        <row r="795">
          <cell r="W795">
            <v>793</v>
          </cell>
          <cell r="AM795" t="str">
            <v>NARIÑO</v>
          </cell>
        </row>
        <row r="796">
          <cell r="W796">
            <v>794</v>
          </cell>
          <cell r="AM796" t="str">
            <v>NARIÑO</v>
          </cell>
        </row>
        <row r="797">
          <cell r="W797">
            <v>795</v>
          </cell>
          <cell r="AM797" t="str">
            <v>NARIÑO</v>
          </cell>
        </row>
        <row r="798">
          <cell r="W798">
            <v>796</v>
          </cell>
          <cell r="AM798" t="str">
            <v>NARIÑO</v>
          </cell>
        </row>
        <row r="799">
          <cell r="W799">
            <v>797</v>
          </cell>
          <cell r="AM799" t="str">
            <v>NARIÑO</v>
          </cell>
        </row>
        <row r="800">
          <cell r="W800">
            <v>798</v>
          </cell>
          <cell r="AM800" t="str">
            <v>NARIÑO</v>
          </cell>
        </row>
        <row r="801">
          <cell r="W801">
            <v>799</v>
          </cell>
          <cell r="AM801" t="str">
            <v>NARIÑO</v>
          </cell>
        </row>
        <row r="802">
          <cell r="W802">
            <v>800</v>
          </cell>
          <cell r="AM802" t="str">
            <v>NARIÑO</v>
          </cell>
        </row>
        <row r="803">
          <cell r="W803">
            <v>801</v>
          </cell>
          <cell r="AM803" t="str">
            <v>NARIÑO</v>
          </cell>
        </row>
        <row r="804">
          <cell r="W804">
            <v>802</v>
          </cell>
          <cell r="AM804" t="str">
            <v>NARIÑO</v>
          </cell>
        </row>
        <row r="805">
          <cell r="W805">
            <v>803</v>
          </cell>
          <cell r="AM805" t="str">
            <v>NARIÑO</v>
          </cell>
        </row>
        <row r="806">
          <cell r="W806">
            <v>804</v>
          </cell>
          <cell r="AM806" t="str">
            <v>NARIÑO</v>
          </cell>
        </row>
        <row r="807">
          <cell r="W807">
            <v>805</v>
          </cell>
          <cell r="AM807" t="str">
            <v>NARIÑO</v>
          </cell>
        </row>
        <row r="808">
          <cell r="W808">
            <v>806</v>
          </cell>
          <cell r="AM808" t="str">
            <v>NARIÑO</v>
          </cell>
        </row>
        <row r="809">
          <cell r="W809">
            <v>807</v>
          </cell>
          <cell r="AM809" t="str">
            <v>NARIÑO</v>
          </cell>
        </row>
        <row r="810">
          <cell r="W810">
            <v>808</v>
          </cell>
          <cell r="AM810" t="str">
            <v>NARIÑO</v>
          </cell>
        </row>
        <row r="811">
          <cell r="W811">
            <v>809</v>
          </cell>
          <cell r="AM811" t="str">
            <v>NARIÑO</v>
          </cell>
        </row>
        <row r="812">
          <cell r="W812">
            <v>810</v>
          </cell>
          <cell r="AM812" t="str">
            <v>NARIÑO</v>
          </cell>
        </row>
        <row r="813">
          <cell r="W813">
            <v>811</v>
          </cell>
          <cell r="AM813" t="str">
            <v>NARIÑO</v>
          </cell>
        </row>
        <row r="814">
          <cell r="W814">
            <v>812</v>
          </cell>
          <cell r="AM814" t="str">
            <v>NARIÑO</v>
          </cell>
        </row>
        <row r="815">
          <cell r="W815">
            <v>813</v>
          </cell>
          <cell r="AM815" t="str">
            <v>NARIÑO</v>
          </cell>
        </row>
        <row r="816">
          <cell r="W816">
            <v>814</v>
          </cell>
          <cell r="AM816" t="str">
            <v>NARIÑO</v>
          </cell>
        </row>
        <row r="817">
          <cell r="W817">
            <v>815</v>
          </cell>
          <cell r="AM817" t="str">
            <v>NARIÑO</v>
          </cell>
        </row>
        <row r="818">
          <cell r="W818">
            <v>816</v>
          </cell>
          <cell r="AM818" t="str">
            <v>NARIÑO</v>
          </cell>
        </row>
        <row r="819">
          <cell r="W819">
            <v>817</v>
          </cell>
          <cell r="AM819" t="str">
            <v>NARIÑO</v>
          </cell>
        </row>
        <row r="820">
          <cell r="W820">
            <v>818</v>
          </cell>
          <cell r="AM820" t="str">
            <v>NARIÑO</v>
          </cell>
        </row>
        <row r="821">
          <cell r="W821">
            <v>819</v>
          </cell>
          <cell r="AM821" t="str">
            <v>NARIÑO</v>
          </cell>
        </row>
        <row r="822">
          <cell r="W822">
            <v>820</v>
          </cell>
          <cell r="AM822" t="str">
            <v>NARIÑO</v>
          </cell>
        </row>
        <row r="823">
          <cell r="W823">
            <v>821</v>
          </cell>
          <cell r="AM823" t="str">
            <v>NARIÑO</v>
          </cell>
        </row>
        <row r="824">
          <cell r="W824">
            <v>822</v>
          </cell>
          <cell r="AM824" t="str">
            <v>NARIÑO</v>
          </cell>
        </row>
        <row r="825">
          <cell r="W825">
            <v>823</v>
          </cell>
          <cell r="AM825" t="str">
            <v>NARIÑO</v>
          </cell>
        </row>
        <row r="826">
          <cell r="W826">
            <v>824</v>
          </cell>
          <cell r="AM826" t="str">
            <v>NARIÑO</v>
          </cell>
        </row>
        <row r="827">
          <cell r="W827">
            <v>825</v>
          </cell>
          <cell r="AM827" t="str">
            <v>NARIÑO</v>
          </cell>
        </row>
        <row r="828">
          <cell r="W828">
            <v>826</v>
          </cell>
          <cell r="AM828" t="str">
            <v>NARIÑO</v>
          </cell>
        </row>
        <row r="829">
          <cell r="W829">
            <v>827</v>
          </cell>
          <cell r="AM829" t="str">
            <v>NARIÑO</v>
          </cell>
        </row>
        <row r="830">
          <cell r="W830">
            <v>828</v>
          </cell>
          <cell r="AM830" t="str">
            <v>NARIÑO</v>
          </cell>
        </row>
        <row r="831">
          <cell r="W831">
            <v>829</v>
          </cell>
          <cell r="AM831" t="str">
            <v>NARIÑO</v>
          </cell>
        </row>
        <row r="832">
          <cell r="W832">
            <v>830</v>
          </cell>
          <cell r="AM832" t="str">
            <v>NARIÑO</v>
          </cell>
        </row>
        <row r="833">
          <cell r="W833">
            <v>831</v>
          </cell>
          <cell r="AM833" t="str">
            <v>NARIÑO</v>
          </cell>
        </row>
        <row r="834">
          <cell r="W834">
            <v>832</v>
          </cell>
          <cell r="AM834" t="str">
            <v>NARIÑO</v>
          </cell>
        </row>
        <row r="835">
          <cell r="W835">
            <v>833</v>
          </cell>
          <cell r="AM835" t="str">
            <v>NARIÑO</v>
          </cell>
        </row>
        <row r="836">
          <cell r="W836">
            <v>834</v>
          </cell>
          <cell r="AM836" t="str">
            <v>NARIÑO</v>
          </cell>
        </row>
        <row r="837">
          <cell r="W837">
            <v>835</v>
          </cell>
          <cell r="AM837" t="str">
            <v>NARIÑO</v>
          </cell>
        </row>
        <row r="838">
          <cell r="W838">
            <v>836</v>
          </cell>
          <cell r="AM838" t="str">
            <v>NARIÑO</v>
          </cell>
        </row>
        <row r="839">
          <cell r="W839">
            <v>837</v>
          </cell>
          <cell r="AM839" t="str">
            <v>NARIÑO</v>
          </cell>
        </row>
        <row r="840">
          <cell r="W840">
            <v>838</v>
          </cell>
          <cell r="AM840" t="str">
            <v>NARIÑO</v>
          </cell>
        </row>
        <row r="841">
          <cell r="W841">
            <v>839</v>
          </cell>
          <cell r="AM841" t="str">
            <v>NARIÑO</v>
          </cell>
        </row>
        <row r="842">
          <cell r="W842">
            <v>840</v>
          </cell>
          <cell r="AM842" t="str">
            <v>NARIÑO</v>
          </cell>
        </row>
        <row r="843">
          <cell r="W843">
            <v>841</v>
          </cell>
          <cell r="AM843" t="str">
            <v>NARIÑO</v>
          </cell>
        </row>
        <row r="844">
          <cell r="W844">
            <v>842</v>
          </cell>
          <cell r="AM844" t="str">
            <v>NARIÑO</v>
          </cell>
        </row>
        <row r="845">
          <cell r="W845">
            <v>843</v>
          </cell>
          <cell r="AM845" t="str">
            <v>NARIÑO</v>
          </cell>
        </row>
        <row r="846">
          <cell r="W846">
            <v>844</v>
          </cell>
          <cell r="AM846" t="str">
            <v>NARIÑO</v>
          </cell>
        </row>
        <row r="847">
          <cell r="W847">
            <v>845</v>
          </cell>
          <cell r="AM847" t="str">
            <v>NARIÑO</v>
          </cell>
        </row>
        <row r="848">
          <cell r="W848">
            <v>846</v>
          </cell>
          <cell r="AM848" t="str">
            <v>NARIÑO</v>
          </cell>
        </row>
        <row r="849">
          <cell r="W849">
            <v>847</v>
          </cell>
          <cell r="AM849" t="str">
            <v>NARIÑO</v>
          </cell>
        </row>
        <row r="850">
          <cell r="W850">
            <v>848</v>
          </cell>
          <cell r="AM850" t="str">
            <v>NARIÑO</v>
          </cell>
        </row>
        <row r="851">
          <cell r="W851">
            <v>849</v>
          </cell>
          <cell r="AM851" t="str">
            <v>NARIÑO</v>
          </cell>
        </row>
        <row r="852">
          <cell r="W852">
            <v>850</v>
          </cell>
          <cell r="AM852" t="str">
            <v>NARIÑO</v>
          </cell>
        </row>
        <row r="853">
          <cell r="W853">
            <v>851</v>
          </cell>
          <cell r="AM853" t="str">
            <v>NTE SANTANDER</v>
          </cell>
        </row>
        <row r="854">
          <cell r="W854">
            <v>852</v>
          </cell>
          <cell r="AM854" t="str">
            <v>NTE SANTANDER</v>
          </cell>
        </row>
        <row r="855">
          <cell r="W855">
            <v>853</v>
          </cell>
          <cell r="AM855" t="str">
            <v>NTE SANTANDER</v>
          </cell>
        </row>
        <row r="856">
          <cell r="W856">
            <v>854</v>
          </cell>
          <cell r="AM856" t="str">
            <v>NTE SANTANDER</v>
          </cell>
        </row>
        <row r="857">
          <cell r="W857">
            <v>855</v>
          </cell>
          <cell r="AM857" t="str">
            <v>NTE SANTANDER</v>
          </cell>
        </row>
        <row r="858">
          <cell r="W858">
            <v>856</v>
          </cell>
          <cell r="AM858" t="str">
            <v>NTE SANTANDER</v>
          </cell>
        </row>
        <row r="859">
          <cell r="W859">
            <v>857</v>
          </cell>
          <cell r="AM859" t="str">
            <v>NTE SANTANDER</v>
          </cell>
        </row>
        <row r="860">
          <cell r="W860">
            <v>858</v>
          </cell>
          <cell r="AM860" t="str">
            <v>NTE SANTANDER</v>
          </cell>
        </row>
        <row r="861">
          <cell r="W861">
            <v>859</v>
          </cell>
          <cell r="AM861" t="str">
            <v>NTE SANTANDER</v>
          </cell>
        </row>
        <row r="862">
          <cell r="W862">
            <v>860</v>
          </cell>
          <cell r="AM862" t="str">
            <v>NTE SANTANDER</v>
          </cell>
        </row>
        <row r="863">
          <cell r="W863">
            <v>861</v>
          </cell>
          <cell r="AM863" t="str">
            <v>NTE SANTANDER</v>
          </cell>
        </row>
        <row r="864">
          <cell r="W864">
            <v>862</v>
          </cell>
          <cell r="AM864" t="str">
            <v>NTE SANTANDER</v>
          </cell>
        </row>
        <row r="865">
          <cell r="W865">
            <v>863</v>
          </cell>
          <cell r="AM865" t="str">
            <v>NTE SANTANDER</v>
          </cell>
        </row>
        <row r="866">
          <cell r="W866">
            <v>864</v>
          </cell>
          <cell r="AM866" t="str">
            <v>NTE SANTANDER</v>
          </cell>
        </row>
        <row r="867">
          <cell r="W867">
            <v>865</v>
          </cell>
          <cell r="AM867" t="str">
            <v>NTE SANTANDER</v>
          </cell>
        </row>
        <row r="868">
          <cell r="W868">
            <v>866</v>
          </cell>
          <cell r="AM868" t="str">
            <v>NTE SANTANDER</v>
          </cell>
        </row>
        <row r="869">
          <cell r="W869">
            <v>867</v>
          </cell>
          <cell r="AM869" t="str">
            <v>NTE SANTANDER</v>
          </cell>
        </row>
        <row r="870">
          <cell r="W870">
            <v>868</v>
          </cell>
          <cell r="AM870" t="str">
            <v>NTE SANTANDER</v>
          </cell>
        </row>
        <row r="871">
          <cell r="W871">
            <v>869</v>
          </cell>
          <cell r="AM871" t="str">
            <v>NTE SANTANDER</v>
          </cell>
        </row>
        <row r="872">
          <cell r="W872">
            <v>870</v>
          </cell>
          <cell r="AM872" t="str">
            <v>NTE SANTANDER</v>
          </cell>
        </row>
        <row r="873">
          <cell r="W873">
            <v>871</v>
          </cell>
          <cell r="AM873" t="str">
            <v>NTE SANTANDER</v>
          </cell>
        </row>
        <row r="874">
          <cell r="W874">
            <v>872</v>
          </cell>
          <cell r="AM874" t="str">
            <v>NTE SANTANDER</v>
          </cell>
        </row>
        <row r="875">
          <cell r="W875">
            <v>873</v>
          </cell>
          <cell r="AM875" t="str">
            <v>NTE SANTANDER</v>
          </cell>
        </row>
        <row r="876">
          <cell r="W876">
            <v>874</v>
          </cell>
          <cell r="AM876" t="str">
            <v>NTE SANTANDER</v>
          </cell>
        </row>
        <row r="877">
          <cell r="W877">
            <v>875</v>
          </cell>
          <cell r="AM877" t="str">
            <v>NTE SANTANDER</v>
          </cell>
        </row>
        <row r="878">
          <cell r="W878">
            <v>876</v>
          </cell>
          <cell r="AM878" t="str">
            <v>NTE SANTANDER</v>
          </cell>
        </row>
        <row r="879">
          <cell r="W879">
            <v>877</v>
          </cell>
          <cell r="AM879" t="str">
            <v>NTE SANTANDER</v>
          </cell>
        </row>
        <row r="880">
          <cell r="W880">
            <v>878</v>
          </cell>
          <cell r="AM880" t="str">
            <v>NTE SANTANDER</v>
          </cell>
        </row>
        <row r="881">
          <cell r="W881">
            <v>879</v>
          </cell>
          <cell r="AM881" t="str">
            <v>NTE SANTANDER</v>
          </cell>
        </row>
        <row r="882">
          <cell r="W882">
            <v>880</v>
          </cell>
          <cell r="AM882" t="str">
            <v>NTE SANTANDER</v>
          </cell>
        </row>
        <row r="883">
          <cell r="W883">
            <v>881</v>
          </cell>
          <cell r="AM883" t="str">
            <v>NTE SANTANDER</v>
          </cell>
        </row>
        <row r="884">
          <cell r="W884">
            <v>882</v>
          </cell>
          <cell r="AM884" t="str">
            <v>NTE SANTANDER</v>
          </cell>
        </row>
        <row r="885">
          <cell r="W885">
            <v>883</v>
          </cell>
          <cell r="AM885" t="str">
            <v>NTE SANTANDER</v>
          </cell>
        </row>
        <row r="886">
          <cell r="W886">
            <v>884</v>
          </cell>
          <cell r="AM886" t="str">
            <v>NTE SANTANDER</v>
          </cell>
        </row>
        <row r="887">
          <cell r="W887">
            <v>885</v>
          </cell>
          <cell r="AM887" t="str">
            <v>NTE SANTANDER</v>
          </cell>
        </row>
        <row r="888">
          <cell r="W888">
            <v>886</v>
          </cell>
          <cell r="AM888" t="str">
            <v>NTE SANTANDER</v>
          </cell>
        </row>
        <row r="889">
          <cell r="W889">
            <v>887</v>
          </cell>
          <cell r="AM889" t="str">
            <v>NTE SANTANDER</v>
          </cell>
        </row>
        <row r="890">
          <cell r="W890">
            <v>888</v>
          </cell>
          <cell r="AM890" t="str">
            <v>NTE SANTANDER</v>
          </cell>
        </row>
        <row r="891">
          <cell r="W891">
            <v>889</v>
          </cell>
          <cell r="AM891" t="str">
            <v>NTE SANTANDER</v>
          </cell>
        </row>
        <row r="892">
          <cell r="W892">
            <v>890</v>
          </cell>
          <cell r="AM892" t="str">
            <v>NTE SANTANDER</v>
          </cell>
        </row>
        <row r="893">
          <cell r="W893">
            <v>891</v>
          </cell>
          <cell r="AM893" t="str">
            <v>NTE SANTANDER</v>
          </cell>
        </row>
        <row r="894">
          <cell r="W894">
            <v>892</v>
          </cell>
          <cell r="AM894" t="str">
            <v>PUTUMAYO</v>
          </cell>
        </row>
        <row r="895">
          <cell r="W895">
            <v>893</v>
          </cell>
          <cell r="AM895" t="str">
            <v>PUTUMAYO</v>
          </cell>
        </row>
        <row r="896">
          <cell r="W896">
            <v>894</v>
          </cell>
          <cell r="AM896" t="str">
            <v>PUTUMAYO</v>
          </cell>
        </row>
        <row r="897">
          <cell r="W897">
            <v>895</v>
          </cell>
          <cell r="AM897" t="str">
            <v>PUTUMAYO</v>
          </cell>
        </row>
        <row r="898">
          <cell r="W898">
            <v>896</v>
          </cell>
          <cell r="AM898" t="str">
            <v>PUTUMAYO</v>
          </cell>
        </row>
        <row r="899">
          <cell r="W899">
            <v>897</v>
          </cell>
          <cell r="AM899" t="str">
            <v>PUTUMAYO</v>
          </cell>
        </row>
        <row r="900">
          <cell r="W900">
            <v>898</v>
          </cell>
          <cell r="AM900" t="str">
            <v>PUTUMAYO</v>
          </cell>
        </row>
        <row r="901">
          <cell r="W901">
            <v>899</v>
          </cell>
          <cell r="AM901" t="str">
            <v>PUTUMAYO</v>
          </cell>
        </row>
        <row r="902">
          <cell r="W902">
            <v>900</v>
          </cell>
          <cell r="AM902" t="str">
            <v>PUTUMAYO</v>
          </cell>
        </row>
        <row r="903">
          <cell r="W903">
            <v>901</v>
          </cell>
          <cell r="AM903" t="str">
            <v>PUTUMAYO</v>
          </cell>
        </row>
        <row r="904">
          <cell r="W904">
            <v>902</v>
          </cell>
          <cell r="AM904" t="str">
            <v>PUTUMAYO</v>
          </cell>
        </row>
        <row r="905">
          <cell r="W905">
            <v>903</v>
          </cell>
          <cell r="AM905" t="str">
            <v>PUTUMAYO</v>
          </cell>
        </row>
        <row r="906">
          <cell r="W906">
            <v>904</v>
          </cell>
          <cell r="AM906" t="str">
            <v>PUTUMAYO</v>
          </cell>
        </row>
        <row r="907">
          <cell r="W907">
            <v>905</v>
          </cell>
          <cell r="AM907" t="str">
            <v>PUTUMAYO</v>
          </cell>
        </row>
        <row r="908">
          <cell r="W908">
            <v>906</v>
          </cell>
          <cell r="AM908" t="str">
            <v>QUINDIO</v>
          </cell>
        </row>
        <row r="909">
          <cell r="W909">
            <v>907</v>
          </cell>
          <cell r="AM909" t="str">
            <v>QUINDIO</v>
          </cell>
        </row>
        <row r="910">
          <cell r="W910">
            <v>908</v>
          </cell>
          <cell r="AM910" t="str">
            <v>QUINDIO</v>
          </cell>
        </row>
        <row r="911">
          <cell r="W911">
            <v>909</v>
          </cell>
          <cell r="AM911" t="str">
            <v>QUINDIO</v>
          </cell>
        </row>
        <row r="912">
          <cell r="W912">
            <v>910</v>
          </cell>
          <cell r="AM912" t="str">
            <v>QUINDIO</v>
          </cell>
        </row>
        <row r="913">
          <cell r="W913">
            <v>911</v>
          </cell>
          <cell r="AM913" t="str">
            <v>QUINDIO</v>
          </cell>
        </row>
        <row r="914">
          <cell r="W914">
            <v>912</v>
          </cell>
          <cell r="AM914" t="str">
            <v>QUINDIO</v>
          </cell>
        </row>
        <row r="915">
          <cell r="W915">
            <v>913</v>
          </cell>
          <cell r="AM915" t="str">
            <v>QUINDIO</v>
          </cell>
        </row>
        <row r="916">
          <cell r="W916">
            <v>914</v>
          </cell>
          <cell r="AM916" t="str">
            <v>QUINDIO</v>
          </cell>
        </row>
        <row r="917">
          <cell r="W917">
            <v>915</v>
          </cell>
          <cell r="AM917" t="str">
            <v>QUINDIO</v>
          </cell>
        </row>
        <row r="918">
          <cell r="W918">
            <v>916</v>
          </cell>
          <cell r="AM918" t="str">
            <v>QUINDIO</v>
          </cell>
        </row>
        <row r="919">
          <cell r="W919">
            <v>917</v>
          </cell>
          <cell r="AM919" t="str">
            <v>QUINDIO</v>
          </cell>
        </row>
        <row r="920">
          <cell r="W920">
            <v>918</v>
          </cell>
          <cell r="AM920" t="str">
            <v>QUINDIO</v>
          </cell>
        </row>
        <row r="921">
          <cell r="W921">
            <v>919</v>
          </cell>
          <cell r="AM921" t="str">
            <v>RISARALDA</v>
          </cell>
        </row>
        <row r="922">
          <cell r="W922">
            <v>920</v>
          </cell>
          <cell r="AM922" t="str">
            <v>RISARALDA</v>
          </cell>
        </row>
        <row r="923">
          <cell r="W923">
            <v>921</v>
          </cell>
          <cell r="AM923" t="str">
            <v>RISARALDA</v>
          </cell>
        </row>
        <row r="924">
          <cell r="W924">
            <v>922</v>
          </cell>
          <cell r="AM924" t="str">
            <v>RISARALDA</v>
          </cell>
        </row>
        <row r="925">
          <cell r="W925">
            <v>923</v>
          </cell>
          <cell r="AM925" t="str">
            <v>RISARALDA</v>
          </cell>
        </row>
        <row r="926">
          <cell r="W926">
            <v>924</v>
          </cell>
          <cell r="AM926" t="str">
            <v>RISARALDA</v>
          </cell>
        </row>
        <row r="927">
          <cell r="W927">
            <v>925</v>
          </cell>
          <cell r="AM927" t="str">
            <v>RISARALDA</v>
          </cell>
        </row>
        <row r="928">
          <cell r="W928">
            <v>926</v>
          </cell>
          <cell r="AM928" t="str">
            <v>RISARALDA</v>
          </cell>
        </row>
        <row r="929">
          <cell r="W929">
            <v>927</v>
          </cell>
          <cell r="AM929" t="str">
            <v>RISARALDA</v>
          </cell>
        </row>
        <row r="930">
          <cell r="W930">
            <v>928</v>
          </cell>
          <cell r="AM930" t="str">
            <v>RISARALDA</v>
          </cell>
        </row>
        <row r="931">
          <cell r="W931">
            <v>929</v>
          </cell>
          <cell r="AM931" t="str">
            <v>RISARALDA</v>
          </cell>
        </row>
        <row r="932">
          <cell r="W932">
            <v>930</v>
          </cell>
          <cell r="AM932" t="str">
            <v>RISARALDA</v>
          </cell>
        </row>
        <row r="933">
          <cell r="W933">
            <v>931</v>
          </cell>
          <cell r="AM933" t="str">
            <v>RISARALDA</v>
          </cell>
        </row>
        <row r="934">
          <cell r="W934">
            <v>932</v>
          </cell>
          <cell r="AM934" t="str">
            <v>RISARALDA</v>
          </cell>
        </row>
        <row r="935">
          <cell r="W935">
            <v>933</v>
          </cell>
          <cell r="AM935" t="str">
            <v>RISARALDA</v>
          </cell>
        </row>
        <row r="936">
          <cell r="W936">
            <v>934</v>
          </cell>
          <cell r="AM936" t="str">
            <v>SAN ANDRES ISLAS</v>
          </cell>
        </row>
        <row r="937">
          <cell r="W937">
            <v>935</v>
          </cell>
          <cell r="AM937" t="str">
            <v>SAN ANDRES ISLAS</v>
          </cell>
        </row>
        <row r="938">
          <cell r="W938">
            <v>936</v>
          </cell>
          <cell r="AM938" t="str">
            <v>SAN ANDRES ISLAS</v>
          </cell>
        </row>
        <row r="939">
          <cell r="W939">
            <v>937</v>
          </cell>
          <cell r="AM939" t="str">
            <v>SANTANDER</v>
          </cell>
        </row>
        <row r="940">
          <cell r="W940">
            <v>938</v>
          </cell>
          <cell r="AM940" t="str">
            <v>SANTANDER</v>
          </cell>
        </row>
        <row r="941">
          <cell r="W941">
            <v>939</v>
          </cell>
          <cell r="AM941" t="str">
            <v>SANTANDER</v>
          </cell>
        </row>
        <row r="942">
          <cell r="W942">
            <v>940</v>
          </cell>
          <cell r="AM942" t="str">
            <v>SANTANDER</v>
          </cell>
        </row>
        <row r="943">
          <cell r="W943">
            <v>941</v>
          </cell>
          <cell r="AM943" t="str">
            <v>SANTANDER</v>
          </cell>
        </row>
        <row r="944">
          <cell r="W944">
            <v>942</v>
          </cell>
          <cell r="AM944" t="str">
            <v>SANTANDER</v>
          </cell>
        </row>
        <row r="945">
          <cell r="W945">
            <v>943</v>
          </cell>
          <cell r="AM945" t="str">
            <v>SANTANDER</v>
          </cell>
        </row>
        <row r="946">
          <cell r="W946">
            <v>944</v>
          </cell>
          <cell r="AM946" t="str">
            <v>SANTANDER</v>
          </cell>
        </row>
        <row r="947">
          <cell r="W947">
            <v>945</v>
          </cell>
          <cell r="AM947" t="str">
            <v>SANTANDER</v>
          </cell>
        </row>
        <row r="948">
          <cell r="W948">
            <v>946</v>
          </cell>
          <cell r="AM948" t="str">
            <v>SANTANDER</v>
          </cell>
        </row>
        <row r="949">
          <cell r="W949">
            <v>947</v>
          </cell>
          <cell r="AM949" t="str">
            <v>SANTANDER</v>
          </cell>
        </row>
        <row r="950">
          <cell r="W950">
            <v>948</v>
          </cell>
          <cell r="AM950" t="str">
            <v>SANTANDER</v>
          </cell>
        </row>
        <row r="951">
          <cell r="W951">
            <v>949</v>
          </cell>
          <cell r="AM951" t="str">
            <v>SANTANDER</v>
          </cell>
        </row>
        <row r="952">
          <cell r="W952">
            <v>950</v>
          </cell>
          <cell r="AM952" t="str">
            <v>SANTANDER</v>
          </cell>
        </row>
        <row r="953">
          <cell r="W953">
            <v>951</v>
          </cell>
          <cell r="AM953" t="str">
            <v>SANTANDER</v>
          </cell>
        </row>
        <row r="954">
          <cell r="W954">
            <v>952</v>
          </cell>
          <cell r="AM954" t="str">
            <v>SANTANDER</v>
          </cell>
        </row>
        <row r="955">
          <cell r="W955">
            <v>953</v>
          </cell>
          <cell r="AM955" t="str">
            <v>SANTANDER</v>
          </cell>
        </row>
        <row r="956">
          <cell r="W956">
            <v>954</v>
          </cell>
          <cell r="AM956" t="str">
            <v>SANTANDER</v>
          </cell>
        </row>
        <row r="957">
          <cell r="W957">
            <v>955</v>
          </cell>
          <cell r="AM957" t="str">
            <v>SANTANDER</v>
          </cell>
        </row>
        <row r="958">
          <cell r="W958">
            <v>956</v>
          </cell>
          <cell r="AM958" t="str">
            <v>SANTANDER</v>
          </cell>
        </row>
        <row r="959">
          <cell r="W959">
            <v>957</v>
          </cell>
          <cell r="AM959" t="str">
            <v>SANTANDER</v>
          </cell>
        </row>
        <row r="960">
          <cell r="W960">
            <v>958</v>
          </cell>
          <cell r="AM960" t="str">
            <v>SANTANDER</v>
          </cell>
        </row>
        <row r="961">
          <cell r="W961">
            <v>959</v>
          </cell>
          <cell r="AM961" t="str">
            <v>SANTANDER</v>
          </cell>
        </row>
        <row r="962">
          <cell r="W962">
            <v>960</v>
          </cell>
          <cell r="AM962" t="str">
            <v>SANTANDER</v>
          </cell>
        </row>
        <row r="963">
          <cell r="W963">
            <v>961</v>
          </cell>
          <cell r="AM963" t="str">
            <v>SANTANDER</v>
          </cell>
        </row>
        <row r="964">
          <cell r="W964">
            <v>962</v>
          </cell>
          <cell r="AM964" t="str">
            <v>SANTANDER</v>
          </cell>
        </row>
        <row r="965">
          <cell r="W965">
            <v>963</v>
          </cell>
          <cell r="AM965" t="str">
            <v>SANTANDER</v>
          </cell>
        </row>
        <row r="966">
          <cell r="W966">
            <v>964</v>
          </cell>
          <cell r="AM966" t="str">
            <v>SANTANDER</v>
          </cell>
        </row>
        <row r="967">
          <cell r="W967">
            <v>965</v>
          </cell>
          <cell r="AM967" t="str">
            <v>SANTANDER</v>
          </cell>
        </row>
        <row r="968">
          <cell r="W968">
            <v>966</v>
          </cell>
          <cell r="AM968" t="str">
            <v>SANTANDER</v>
          </cell>
        </row>
        <row r="969">
          <cell r="W969">
            <v>967</v>
          </cell>
          <cell r="AM969" t="str">
            <v>SANTANDER</v>
          </cell>
        </row>
        <row r="970">
          <cell r="W970">
            <v>968</v>
          </cell>
          <cell r="AM970" t="str">
            <v>SANTANDER</v>
          </cell>
        </row>
        <row r="971">
          <cell r="W971">
            <v>969</v>
          </cell>
          <cell r="AM971" t="str">
            <v>SANTANDER</v>
          </cell>
        </row>
        <row r="972">
          <cell r="W972">
            <v>970</v>
          </cell>
          <cell r="AM972" t="str">
            <v>SANTANDER</v>
          </cell>
        </row>
        <row r="973">
          <cell r="W973">
            <v>971</v>
          </cell>
          <cell r="AM973" t="str">
            <v>SANTANDER</v>
          </cell>
        </row>
        <row r="974">
          <cell r="W974">
            <v>972</v>
          </cell>
          <cell r="AM974" t="str">
            <v>SANTANDER</v>
          </cell>
        </row>
        <row r="975">
          <cell r="W975">
            <v>973</v>
          </cell>
          <cell r="AM975" t="str">
            <v>SANTANDER</v>
          </cell>
        </row>
        <row r="976">
          <cell r="W976">
            <v>974</v>
          </cell>
          <cell r="AM976" t="str">
            <v>SANTANDER</v>
          </cell>
        </row>
        <row r="977">
          <cell r="W977">
            <v>975</v>
          </cell>
          <cell r="AM977" t="str">
            <v>SANTANDER</v>
          </cell>
        </row>
        <row r="978">
          <cell r="W978">
            <v>976</v>
          </cell>
          <cell r="AM978" t="str">
            <v>SANTANDER</v>
          </cell>
        </row>
        <row r="979">
          <cell r="W979">
            <v>977</v>
          </cell>
          <cell r="AM979" t="str">
            <v>SANTANDER</v>
          </cell>
        </row>
        <row r="980">
          <cell r="W980">
            <v>978</v>
          </cell>
          <cell r="AM980" t="str">
            <v>SANTANDER</v>
          </cell>
        </row>
        <row r="981">
          <cell r="W981">
            <v>979</v>
          </cell>
          <cell r="AM981" t="str">
            <v>SANTANDER</v>
          </cell>
        </row>
        <row r="982">
          <cell r="W982">
            <v>980</v>
          </cell>
          <cell r="AM982" t="str">
            <v>SANTANDER</v>
          </cell>
        </row>
        <row r="983">
          <cell r="W983">
            <v>981</v>
          </cell>
          <cell r="AM983" t="str">
            <v>SANTANDER</v>
          </cell>
        </row>
        <row r="984">
          <cell r="W984">
            <v>982</v>
          </cell>
          <cell r="AM984" t="str">
            <v>SANTANDER</v>
          </cell>
        </row>
        <row r="985">
          <cell r="W985">
            <v>983</v>
          </cell>
          <cell r="AM985" t="str">
            <v>SANTANDER</v>
          </cell>
        </row>
        <row r="986">
          <cell r="W986">
            <v>984</v>
          </cell>
          <cell r="AM986" t="str">
            <v>SANTANDER</v>
          </cell>
        </row>
        <row r="987">
          <cell r="W987">
            <v>985</v>
          </cell>
          <cell r="AM987" t="str">
            <v>SANTANDER</v>
          </cell>
        </row>
        <row r="988">
          <cell r="W988">
            <v>986</v>
          </cell>
          <cell r="AM988" t="str">
            <v>SANTANDER</v>
          </cell>
        </row>
        <row r="989">
          <cell r="W989">
            <v>987</v>
          </cell>
          <cell r="AM989" t="str">
            <v>SANTANDER</v>
          </cell>
        </row>
        <row r="990">
          <cell r="W990">
            <v>988</v>
          </cell>
          <cell r="AM990" t="str">
            <v>SANTANDER</v>
          </cell>
        </row>
        <row r="991">
          <cell r="W991">
            <v>989</v>
          </cell>
          <cell r="AM991" t="str">
            <v>SANTANDER</v>
          </cell>
        </row>
        <row r="992">
          <cell r="W992">
            <v>990</v>
          </cell>
          <cell r="AM992" t="str">
            <v>SANTANDER</v>
          </cell>
        </row>
        <row r="993">
          <cell r="W993">
            <v>991</v>
          </cell>
          <cell r="AM993" t="str">
            <v>SANTANDER</v>
          </cell>
        </row>
        <row r="994">
          <cell r="W994">
            <v>992</v>
          </cell>
          <cell r="AM994" t="str">
            <v>SANTANDER</v>
          </cell>
        </row>
        <row r="995">
          <cell r="W995">
            <v>993</v>
          </cell>
          <cell r="AM995" t="str">
            <v>SANTANDER</v>
          </cell>
        </row>
        <row r="996">
          <cell r="W996">
            <v>994</v>
          </cell>
          <cell r="AM996" t="str">
            <v>SANTANDER</v>
          </cell>
        </row>
        <row r="997">
          <cell r="W997">
            <v>995</v>
          </cell>
          <cell r="AM997" t="str">
            <v>SANTANDER</v>
          </cell>
        </row>
        <row r="998">
          <cell r="W998">
            <v>996</v>
          </cell>
          <cell r="AM998" t="str">
            <v>SANTANDER</v>
          </cell>
        </row>
        <row r="999">
          <cell r="W999">
            <v>997</v>
          </cell>
          <cell r="AM999" t="str">
            <v>SANTANDER</v>
          </cell>
        </row>
        <row r="1000">
          <cell r="W1000">
            <v>998</v>
          </cell>
          <cell r="AM1000" t="str">
            <v>SANTANDER</v>
          </cell>
        </row>
        <row r="1001">
          <cell r="W1001">
            <v>999</v>
          </cell>
          <cell r="AM1001" t="str">
            <v>SANTANDER</v>
          </cell>
        </row>
        <row r="1002">
          <cell r="W1002">
            <v>1000</v>
          </cell>
          <cell r="AM1002" t="str">
            <v>SANTANDER</v>
          </cell>
        </row>
        <row r="1003">
          <cell r="W1003">
            <v>1001</v>
          </cell>
          <cell r="AM1003" t="str">
            <v>SANTANDER</v>
          </cell>
        </row>
        <row r="1004">
          <cell r="W1004">
            <v>1002</v>
          </cell>
          <cell r="AM1004" t="str">
            <v>SANTANDER</v>
          </cell>
        </row>
        <row r="1005">
          <cell r="W1005">
            <v>1003</v>
          </cell>
          <cell r="AM1005" t="str">
            <v>SANTANDER</v>
          </cell>
        </row>
        <row r="1006">
          <cell r="W1006">
            <v>1004</v>
          </cell>
          <cell r="AM1006" t="str">
            <v>SANTANDER</v>
          </cell>
        </row>
        <row r="1007">
          <cell r="W1007">
            <v>1005</v>
          </cell>
          <cell r="AM1007" t="str">
            <v>SANTANDER</v>
          </cell>
        </row>
        <row r="1008">
          <cell r="W1008">
            <v>1006</v>
          </cell>
          <cell r="AM1008" t="str">
            <v>SANTANDER</v>
          </cell>
        </row>
        <row r="1009">
          <cell r="W1009">
            <v>1007</v>
          </cell>
          <cell r="AM1009" t="str">
            <v>SANTANDER</v>
          </cell>
        </row>
        <row r="1010">
          <cell r="W1010">
            <v>1008</v>
          </cell>
          <cell r="AM1010" t="str">
            <v>SANTANDER</v>
          </cell>
        </row>
        <row r="1011">
          <cell r="W1011">
            <v>1009</v>
          </cell>
          <cell r="AM1011" t="str">
            <v>SANTANDER</v>
          </cell>
        </row>
        <row r="1012">
          <cell r="W1012">
            <v>1010</v>
          </cell>
          <cell r="AM1012" t="str">
            <v>SANTANDER</v>
          </cell>
        </row>
        <row r="1013">
          <cell r="W1013">
            <v>1011</v>
          </cell>
          <cell r="AM1013" t="str">
            <v>SANTANDER</v>
          </cell>
        </row>
        <row r="1014">
          <cell r="W1014">
            <v>1012</v>
          </cell>
          <cell r="AM1014" t="str">
            <v>SANTANDER</v>
          </cell>
        </row>
        <row r="1015">
          <cell r="W1015">
            <v>1013</v>
          </cell>
          <cell r="AM1015" t="str">
            <v>SANTANDER</v>
          </cell>
        </row>
        <row r="1016">
          <cell r="W1016">
            <v>1014</v>
          </cell>
          <cell r="AM1016" t="str">
            <v>SANTANDER</v>
          </cell>
        </row>
        <row r="1017">
          <cell r="W1017">
            <v>1015</v>
          </cell>
          <cell r="AM1017" t="str">
            <v>SANTANDER</v>
          </cell>
        </row>
        <row r="1018">
          <cell r="W1018">
            <v>1016</v>
          </cell>
          <cell r="AM1018" t="str">
            <v>SANTANDER</v>
          </cell>
        </row>
        <row r="1019">
          <cell r="W1019">
            <v>1017</v>
          </cell>
          <cell r="AM1019" t="str">
            <v>SANTANDER</v>
          </cell>
        </row>
        <row r="1020">
          <cell r="W1020">
            <v>1018</v>
          </cell>
          <cell r="AM1020" t="str">
            <v>SANTANDER</v>
          </cell>
        </row>
        <row r="1021">
          <cell r="W1021">
            <v>1019</v>
          </cell>
          <cell r="AM1021" t="str">
            <v>SANTANDER</v>
          </cell>
        </row>
        <row r="1022">
          <cell r="W1022">
            <v>1020</v>
          </cell>
          <cell r="AM1022" t="str">
            <v>SANTANDER</v>
          </cell>
        </row>
        <row r="1023">
          <cell r="W1023">
            <v>1021</v>
          </cell>
          <cell r="AM1023" t="str">
            <v>SANTANDER</v>
          </cell>
        </row>
        <row r="1024">
          <cell r="W1024">
            <v>1022</v>
          </cell>
          <cell r="AM1024" t="str">
            <v>SANTANDER</v>
          </cell>
        </row>
        <row r="1025">
          <cell r="W1025">
            <v>1023</v>
          </cell>
          <cell r="AM1025" t="str">
            <v>SANTANDER</v>
          </cell>
        </row>
        <row r="1026">
          <cell r="W1026">
            <v>1024</v>
          </cell>
          <cell r="AM1026" t="str">
            <v>SANTANDER</v>
          </cell>
        </row>
        <row r="1027">
          <cell r="W1027">
            <v>1025</v>
          </cell>
          <cell r="AM1027" t="str">
            <v>SUCRE</v>
          </cell>
        </row>
        <row r="1028">
          <cell r="W1028">
            <v>1026</v>
          </cell>
          <cell r="AM1028" t="str">
            <v>SUCRE</v>
          </cell>
        </row>
        <row r="1029">
          <cell r="W1029">
            <v>1027</v>
          </cell>
          <cell r="AM1029" t="str">
            <v>SUCRE</v>
          </cell>
        </row>
        <row r="1030">
          <cell r="W1030">
            <v>1028</v>
          </cell>
          <cell r="AM1030" t="str">
            <v>SUCRE</v>
          </cell>
        </row>
        <row r="1031">
          <cell r="W1031">
            <v>1029</v>
          </cell>
          <cell r="AM1031" t="str">
            <v>SUCRE</v>
          </cell>
        </row>
        <row r="1032">
          <cell r="W1032">
            <v>1030</v>
          </cell>
          <cell r="AM1032" t="str">
            <v>SUCRE</v>
          </cell>
        </row>
        <row r="1033">
          <cell r="W1033">
            <v>1031</v>
          </cell>
          <cell r="AM1033" t="str">
            <v>SUCRE</v>
          </cell>
        </row>
        <row r="1034">
          <cell r="W1034">
            <v>1032</v>
          </cell>
          <cell r="AM1034" t="str">
            <v>SUCRE</v>
          </cell>
        </row>
        <row r="1035">
          <cell r="W1035">
            <v>1033</v>
          </cell>
          <cell r="AM1035" t="str">
            <v>SUCRE</v>
          </cell>
        </row>
        <row r="1036">
          <cell r="W1036">
            <v>1034</v>
          </cell>
          <cell r="AM1036" t="str">
            <v>SUCRE</v>
          </cell>
        </row>
        <row r="1037">
          <cell r="W1037">
            <v>1035</v>
          </cell>
          <cell r="AM1037" t="str">
            <v>SUCRE</v>
          </cell>
        </row>
        <row r="1038">
          <cell r="W1038">
            <v>1036</v>
          </cell>
          <cell r="AM1038" t="str">
            <v>SUCRE</v>
          </cell>
        </row>
        <row r="1039">
          <cell r="W1039">
            <v>1037</v>
          </cell>
          <cell r="AM1039" t="str">
            <v>SUCRE</v>
          </cell>
        </row>
        <row r="1040">
          <cell r="W1040">
            <v>1038</v>
          </cell>
          <cell r="AM1040" t="str">
            <v>SUCRE</v>
          </cell>
        </row>
        <row r="1041">
          <cell r="W1041">
            <v>1039</v>
          </cell>
          <cell r="AM1041" t="str">
            <v>SUCRE</v>
          </cell>
        </row>
        <row r="1042">
          <cell r="W1042">
            <v>1040</v>
          </cell>
          <cell r="AM1042" t="str">
            <v>SUCRE</v>
          </cell>
        </row>
        <row r="1043">
          <cell r="W1043">
            <v>1041</v>
          </cell>
          <cell r="AM1043" t="str">
            <v>SUCRE</v>
          </cell>
        </row>
        <row r="1044">
          <cell r="W1044">
            <v>1042</v>
          </cell>
          <cell r="AM1044" t="str">
            <v>SUCRE</v>
          </cell>
        </row>
        <row r="1045">
          <cell r="W1045">
            <v>1043</v>
          </cell>
          <cell r="AM1045" t="str">
            <v>SUCRE</v>
          </cell>
        </row>
        <row r="1046">
          <cell r="W1046">
            <v>1044</v>
          </cell>
          <cell r="AM1046" t="str">
            <v>SUCRE</v>
          </cell>
        </row>
        <row r="1047">
          <cell r="W1047">
            <v>1045</v>
          </cell>
          <cell r="AM1047" t="str">
            <v>SUCRE</v>
          </cell>
        </row>
        <row r="1048">
          <cell r="W1048">
            <v>1046</v>
          </cell>
          <cell r="AM1048" t="str">
            <v>SUCRE</v>
          </cell>
        </row>
        <row r="1049">
          <cell r="W1049">
            <v>1047</v>
          </cell>
          <cell r="AM1049" t="str">
            <v>SUCRE</v>
          </cell>
        </row>
        <row r="1050">
          <cell r="W1050">
            <v>1048</v>
          </cell>
          <cell r="AM1050" t="str">
            <v>SUCRE</v>
          </cell>
        </row>
        <row r="1051">
          <cell r="W1051">
            <v>1049</v>
          </cell>
          <cell r="AM1051" t="str">
            <v>SUCRE</v>
          </cell>
        </row>
        <row r="1052">
          <cell r="W1052">
            <v>1050</v>
          </cell>
          <cell r="AM1052" t="str">
            <v>SUCRE</v>
          </cell>
        </row>
        <row r="1053">
          <cell r="W1053">
            <v>1051</v>
          </cell>
          <cell r="AM1053" t="str">
            <v>SUCRE</v>
          </cell>
        </row>
        <row r="1054">
          <cell r="W1054">
            <v>1052</v>
          </cell>
          <cell r="AM1054" t="str">
            <v>TOLIMA</v>
          </cell>
        </row>
        <row r="1055">
          <cell r="W1055">
            <v>1053</v>
          </cell>
          <cell r="AM1055" t="str">
            <v>TOLIMA</v>
          </cell>
        </row>
        <row r="1056">
          <cell r="W1056">
            <v>1054</v>
          </cell>
          <cell r="AM1056" t="str">
            <v>TOLIMA</v>
          </cell>
        </row>
        <row r="1057">
          <cell r="W1057">
            <v>1055</v>
          </cell>
          <cell r="AM1057" t="str">
            <v>TOLIMA</v>
          </cell>
        </row>
        <row r="1058">
          <cell r="W1058">
            <v>1056</v>
          </cell>
          <cell r="AM1058" t="str">
            <v>TOLIMA</v>
          </cell>
        </row>
        <row r="1059">
          <cell r="W1059">
            <v>1057</v>
          </cell>
          <cell r="AM1059" t="str">
            <v>TOLIMA</v>
          </cell>
        </row>
        <row r="1060">
          <cell r="W1060">
            <v>1058</v>
          </cell>
          <cell r="AM1060" t="str">
            <v>TOLIMA</v>
          </cell>
        </row>
        <row r="1061">
          <cell r="W1061">
            <v>1059</v>
          </cell>
          <cell r="AM1061" t="str">
            <v>TOLIMA</v>
          </cell>
        </row>
        <row r="1062">
          <cell r="W1062">
            <v>1060</v>
          </cell>
          <cell r="AM1062" t="str">
            <v>TOLIMA</v>
          </cell>
        </row>
        <row r="1063">
          <cell r="W1063">
            <v>1061</v>
          </cell>
          <cell r="AM1063" t="str">
            <v>TOLIMA</v>
          </cell>
        </row>
        <row r="1064">
          <cell r="W1064">
            <v>1062</v>
          </cell>
          <cell r="AM1064" t="str">
            <v>TOLIMA</v>
          </cell>
        </row>
        <row r="1065">
          <cell r="W1065">
            <v>1063</v>
          </cell>
          <cell r="AM1065" t="str">
            <v>TOLIMA</v>
          </cell>
        </row>
        <row r="1066">
          <cell r="W1066">
            <v>1064</v>
          </cell>
          <cell r="AM1066" t="str">
            <v>TOLIMA</v>
          </cell>
        </row>
        <row r="1067">
          <cell r="W1067">
            <v>1065</v>
          </cell>
          <cell r="AM1067" t="str">
            <v>TOLIMA</v>
          </cell>
        </row>
        <row r="1068">
          <cell r="W1068">
            <v>1066</v>
          </cell>
          <cell r="AM1068" t="str">
            <v>TOLIMA</v>
          </cell>
        </row>
        <row r="1069">
          <cell r="W1069">
            <v>1067</v>
          </cell>
          <cell r="AM1069" t="str">
            <v>TOLIMA</v>
          </cell>
        </row>
        <row r="1070">
          <cell r="W1070">
            <v>1068</v>
          </cell>
          <cell r="AM1070" t="str">
            <v>TOLIMA</v>
          </cell>
        </row>
        <row r="1071">
          <cell r="W1071">
            <v>1069</v>
          </cell>
          <cell r="AM1071" t="str">
            <v>TOLIMA</v>
          </cell>
        </row>
        <row r="1072">
          <cell r="W1072">
            <v>1070</v>
          </cell>
          <cell r="AM1072" t="str">
            <v>TOLIMA</v>
          </cell>
        </row>
        <row r="1073">
          <cell r="W1073">
            <v>1071</v>
          </cell>
          <cell r="AM1073" t="str">
            <v>TOLIMA</v>
          </cell>
        </row>
        <row r="1074">
          <cell r="W1074">
            <v>1072</v>
          </cell>
          <cell r="AM1074" t="str">
            <v>TOLIMA</v>
          </cell>
        </row>
        <row r="1075">
          <cell r="W1075">
            <v>1073</v>
          </cell>
          <cell r="AM1075" t="str">
            <v>TOLIMA</v>
          </cell>
        </row>
        <row r="1076">
          <cell r="W1076">
            <v>1074</v>
          </cell>
          <cell r="AM1076" t="str">
            <v>TOLIMA</v>
          </cell>
        </row>
        <row r="1077">
          <cell r="W1077">
            <v>1075</v>
          </cell>
          <cell r="AM1077" t="str">
            <v>TOLIMA</v>
          </cell>
        </row>
        <row r="1078">
          <cell r="W1078">
            <v>1076</v>
          </cell>
          <cell r="AM1078" t="str">
            <v>TOLIMA</v>
          </cell>
        </row>
        <row r="1079">
          <cell r="W1079">
            <v>1077</v>
          </cell>
          <cell r="AM1079" t="str">
            <v>TOLIMA</v>
          </cell>
        </row>
        <row r="1080">
          <cell r="W1080">
            <v>1078</v>
          </cell>
          <cell r="AM1080" t="str">
            <v>TOLIMA</v>
          </cell>
        </row>
        <row r="1081">
          <cell r="W1081">
            <v>1079</v>
          </cell>
          <cell r="AM1081" t="str">
            <v>TOLIMA</v>
          </cell>
        </row>
        <row r="1082">
          <cell r="W1082">
            <v>1080</v>
          </cell>
          <cell r="AM1082" t="str">
            <v>TOLIMA</v>
          </cell>
        </row>
        <row r="1083">
          <cell r="W1083">
            <v>1081</v>
          </cell>
          <cell r="AM1083" t="str">
            <v>TOLIMA</v>
          </cell>
        </row>
        <row r="1084">
          <cell r="W1084">
            <v>1082</v>
          </cell>
          <cell r="AM1084" t="str">
            <v>TOLIMA</v>
          </cell>
        </row>
        <row r="1085">
          <cell r="W1085">
            <v>1083</v>
          </cell>
          <cell r="AM1085" t="str">
            <v>TOLIMA</v>
          </cell>
        </row>
        <row r="1086">
          <cell r="W1086">
            <v>1084</v>
          </cell>
          <cell r="AM1086" t="str">
            <v>TOLIMA</v>
          </cell>
        </row>
        <row r="1087">
          <cell r="W1087">
            <v>1085</v>
          </cell>
          <cell r="AM1087" t="str">
            <v>TOLIMA</v>
          </cell>
        </row>
        <row r="1088">
          <cell r="W1088">
            <v>1086</v>
          </cell>
          <cell r="AM1088" t="str">
            <v>TOLIMA</v>
          </cell>
        </row>
        <row r="1089">
          <cell r="W1089">
            <v>1087</v>
          </cell>
          <cell r="AM1089" t="str">
            <v>TOLIMA</v>
          </cell>
        </row>
        <row r="1090">
          <cell r="W1090">
            <v>1088</v>
          </cell>
          <cell r="AM1090" t="str">
            <v>TOLIMA</v>
          </cell>
        </row>
        <row r="1091">
          <cell r="W1091">
            <v>1089</v>
          </cell>
          <cell r="AM1091" t="str">
            <v>TOLIMA</v>
          </cell>
        </row>
        <row r="1092">
          <cell r="W1092">
            <v>1090</v>
          </cell>
          <cell r="AM1092" t="str">
            <v>TOLIMA</v>
          </cell>
        </row>
        <row r="1093">
          <cell r="W1093">
            <v>1091</v>
          </cell>
          <cell r="AM1093" t="str">
            <v>TOLIMA</v>
          </cell>
        </row>
        <row r="1094">
          <cell r="W1094">
            <v>1092</v>
          </cell>
          <cell r="AM1094" t="str">
            <v>TOLIMA</v>
          </cell>
        </row>
        <row r="1095">
          <cell r="W1095">
            <v>1093</v>
          </cell>
          <cell r="AM1095" t="str">
            <v>TOLIMA</v>
          </cell>
        </row>
        <row r="1096">
          <cell r="W1096">
            <v>1094</v>
          </cell>
          <cell r="AM1096" t="str">
            <v>TOLIMA</v>
          </cell>
        </row>
        <row r="1097">
          <cell r="W1097">
            <v>1095</v>
          </cell>
          <cell r="AM1097" t="str">
            <v>TOLIMA</v>
          </cell>
        </row>
        <row r="1098">
          <cell r="W1098">
            <v>1096</v>
          </cell>
          <cell r="AM1098" t="str">
            <v>TOLIMA</v>
          </cell>
        </row>
        <row r="1099">
          <cell r="W1099">
            <v>1097</v>
          </cell>
          <cell r="AM1099" t="str">
            <v>TOLIMA</v>
          </cell>
        </row>
        <row r="1100">
          <cell r="W1100">
            <v>1098</v>
          </cell>
          <cell r="AM1100" t="str">
            <v>TOLIMA</v>
          </cell>
        </row>
        <row r="1101">
          <cell r="W1101">
            <v>1099</v>
          </cell>
          <cell r="AM1101" t="str">
            <v>TOLIMA</v>
          </cell>
        </row>
        <row r="1102">
          <cell r="W1102">
            <v>1100</v>
          </cell>
          <cell r="AM1102" t="str">
            <v>VALLE</v>
          </cell>
        </row>
        <row r="1103">
          <cell r="W1103">
            <v>1101</v>
          </cell>
          <cell r="AM1103" t="str">
            <v>VALLE</v>
          </cell>
        </row>
        <row r="1104">
          <cell r="W1104">
            <v>1102</v>
          </cell>
          <cell r="AM1104" t="str">
            <v>VALLE</v>
          </cell>
        </row>
        <row r="1105">
          <cell r="W1105">
            <v>1103</v>
          </cell>
          <cell r="AM1105" t="str">
            <v>VALLE</v>
          </cell>
        </row>
        <row r="1106">
          <cell r="W1106">
            <v>1104</v>
          </cell>
          <cell r="AM1106" t="str">
            <v>VALLE</v>
          </cell>
        </row>
        <row r="1107">
          <cell r="W1107">
            <v>1105</v>
          </cell>
          <cell r="AM1107" t="str">
            <v>VALLE</v>
          </cell>
        </row>
        <row r="1108">
          <cell r="W1108">
            <v>1106</v>
          </cell>
          <cell r="AM1108" t="str">
            <v>VALLE</v>
          </cell>
        </row>
        <row r="1109">
          <cell r="W1109">
            <v>1107</v>
          </cell>
          <cell r="AM1109" t="str">
            <v>VALLE</v>
          </cell>
        </row>
        <row r="1110">
          <cell r="W1110">
            <v>1108</v>
          </cell>
          <cell r="AM1110" t="str">
            <v>VALLE</v>
          </cell>
        </row>
        <row r="1111">
          <cell r="W1111">
            <v>1109</v>
          </cell>
          <cell r="AM1111" t="str">
            <v>VALLE</v>
          </cell>
        </row>
        <row r="1112">
          <cell r="W1112">
            <v>1110</v>
          </cell>
          <cell r="AM1112" t="str">
            <v>VALLE</v>
          </cell>
        </row>
        <row r="1113">
          <cell r="W1113">
            <v>1111</v>
          </cell>
          <cell r="AM1113" t="str">
            <v>VALLE</v>
          </cell>
        </row>
        <row r="1114">
          <cell r="W1114">
            <v>1112</v>
          </cell>
          <cell r="AM1114" t="str">
            <v>VALLE</v>
          </cell>
        </row>
        <row r="1115">
          <cell r="W1115">
            <v>1113</v>
          </cell>
          <cell r="AM1115" t="str">
            <v>VALLE</v>
          </cell>
        </row>
        <row r="1116">
          <cell r="W1116">
            <v>1114</v>
          </cell>
          <cell r="AM1116" t="str">
            <v>VALLE</v>
          </cell>
        </row>
        <row r="1117">
          <cell r="W1117">
            <v>1115</v>
          </cell>
          <cell r="AM1117" t="str">
            <v>VALLE</v>
          </cell>
        </row>
        <row r="1118">
          <cell r="W1118">
            <v>1116</v>
          </cell>
          <cell r="AM1118" t="str">
            <v>VALLE</v>
          </cell>
        </row>
        <row r="1119">
          <cell r="W1119">
            <v>1117</v>
          </cell>
          <cell r="AM1119" t="str">
            <v>VALLE</v>
          </cell>
        </row>
        <row r="1120">
          <cell r="W1120">
            <v>1118</v>
          </cell>
          <cell r="AM1120" t="str">
            <v>VALLE</v>
          </cell>
        </row>
        <row r="1121">
          <cell r="W1121">
            <v>1119</v>
          </cell>
          <cell r="AM1121" t="str">
            <v>VALLE</v>
          </cell>
        </row>
        <row r="1122">
          <cell r="W1122">
            <v>1120</v>
          </cell>
          <cell r="AM1122" t="str">
            <v>VALLE</v>
          </cell>
        </row>
        <row r="1123">
          <cell r="W1123">
            <v>1121</v>
          </cell>
          <cell r="AM1123" t="str">
            <v>VALLE</v>
          </cell>
        </row>
        <row r="1124">
          <cell r="W1124">
            <v>1122</v>
          </cell>
          <cell r="AM1124" t="str">
            <v>VALLE</v>
          </cell>
        </row>
        <row r="1125">
          <cell r="W1125">
            <v>1123</v>
          </cell>
          <cell r="AM1125" t="str">
            <v>VALLE</v>
          </cell>
        </row>
        <row r="1126">
          <cell r="W1126">
            <v>1124</v>
          </cell>
          <cell r="AM1126" t="str">
            <v>VALLE</v>
          </cell>
        </row>
        <row r="1127">
          <cell r="W1127">
            <v>1125</v>
          </cell>
          <cell r="AM1127" t="str">
            <v>VALLE</v>
          </cell>
        </row>
        <row r="1128">
          <cell r="W1128">
            <v>1126</v>
          </cell>
          <cell r="AM1128" t="str">
            <v>VALLE</v>
          </cell>
        </row>
        <row r="1129">
          <cell r="W1129">
            <v>1127</v>
          </cell>
          <cell r="AM1129" t="str">
            <v>VALLE</v>
          </cell>
        </row>
        <row r="1130">
          <cell r="W1130">
            <v>1128</v>
          </cell>
          <cell r="AM1130" t="str">
            <v>VALLE</v>
          </cell>
        </row>
        <row r="1131">
          <cell r="W1131">
            <v>1129</v>
          </cell>
          <cell r="AM1131" t="str">
            <v>VALLE</v>
          </cell>
        </row>
        <row r="1132">
          <cell r="W1132">
            <v>1130</v>
          </cell>
          <cell r="AM1132" t="str">
            <v>VALLE</v>
          </cell>
        </row>
        <row r="1133">
          <cell r="W1133">
            <v>1131</v>
          </cell>
          <cell r="AM1133" t="str">
            <v>VALLE</v>
          </cell>
        </row>
        <row r="1134">
          <cell r="W1134">
            <v>1132</v>
          </cell>
          <cell r="AM1134" t="str">
            <v>VALLE</v>
          </cell>
        </row>
        <row r="1135">
          <cell r="W1135">
            <v>1133</v>
          </cell>
          <cell r="AM1135" t="str">
            <v>VALLE</v>
          </cell>
        </row>
        <row r="1136">
          <cell r="W1136">
            <v>1134</v>
          </cell>
          <cell r="AM1136" t="str">
            <v>VALLE</v>
          </cell>
        </row>
        <row r="1137">
          <cell r="W1137">
            <v>1135</v>
          </cell>
          <cell r="AM1137" t="str">
            <v>VALLE</v>
          </cell>
        </row>
        <row r="1138">
          <cell r="W1138">
            <v>1136</v>
          </cell>
          <cell r="AM1138" t="str">
            <v>VALLE</v>
          </cell>
        </row>
        <row r="1139">
          <cell r="W1139">
            <v>1137</v>
          </cell>
          <cell r="AM1139" t="str">
            <v>VALLE</v>
          </cell>
        </row>
        <row r="1140">
          <cell r="W1140">
            <v>1138</v>
          </cell>
          <cell r="AM1140" t="str">
            <v>VALLE</v>
          </cell>
        </row>
        <row r="1141">
          <cell r="W1141">
            <v>1139</v>
          </cell>
          <cell r="AM1141" t="str">
            <v>VALLE</v>
          </cell>
        </row>
        <row r="1142">
          <cell r="W1142">
            <v>1140</v>
          </cell>
          <cell r="AM1142" t="str">
            <v>VALLE</v>
          </cell>
        </row>
        <row r="1143">
          <cell r="W1143">
            <v>1141</v>
          </cell>
          <cell r="AM1143" t="str">
            <v>VALLE</v>
          </cell>
        </row>
        <row r="1144">
          <cell r="W1144">
            <v>1142</v>
          </cell>
          <cell r="AM1144" t="str">
            <v>VALLE</v>
          </cell>
        </row>
        <row r="1145">
          <cell r="W1145">
            <v>1143</v>
          </cell>
          <cell r="AM1145" t="str">
            <v>VAUPES</v>
          </cell>
        </row>
        <row r="1146">
          <cell r="W1146">
            <v>1144</v>
          </cell>
          <cell r="AM1146" t="str">
            <v>VAUPES</v>
          </cell>
        </row>
        <row r="1147">
          <cell r="W1147">
            <v>1145</v>
          </cell>
          <cell r="AM1147" t="str">
            <v>VAUPES</v>
          </cell>
        </row>
        <row r="1148">
          <cell r="W1148">
            <v>1146</v>
          </cell>
          <cell r="AM1148" t="str">
            <v>VAUPES</v>
          </cell>
        </row>
        <row r="1149">
          <cell r="W1149">
            <v>1147</v>
          </cell>
          <cell r="AM1149" t="str">
            <v>VAUPES</v>
          </cell>
        </row>
        <row r="1150">
          <cell r="W1150">
            <v>1148</v>
          </cell>
          <cell r="AM1150" t="str">
            <v>VAUPES</v>
          </cell>
        </row>
        <row r="1151">
          <cell r="W1151">
            <v>1149</v>
          </cell>
          <cell r="AM1151" t="str">
            <v>VAUPES</v>
          </cell>
        </row>
        <row r="1152">
          <cell r="W1152">
            <v>1150</v>
          </cell>
          <cell r="AM1152" t="str">
            <v>VICHADA</v>
          </cell>
        </row>
        <row r="1153">
          <cell r="W1153">
            <v>1151</v>
          </cell>
          <cell r="AM1153" t="str">
            <v>VICHADA</v>
          </cell>
        </row>
        <row r="1154">
          <cell r="W1154">
            <v>1152</v>
          </cell>
          <cell r="AM1154" t="str">
            <v>VICHADA</v>
          </cell>
        </row>
        <row r="1155">
          <cell r="W1155">
            <v>1153</v>
          </cell>
          <cell r="AM1155" t="str">
            <v>VICHADA</v>
          </cell>
        </row>
        <row r="1156">
          <cell r="W1156">
            <v>1154</v>
          </cell>
          <cell r="AM1156" t="str">
            <v>VICHADA</v>
          </cell>
        </row>
        <row r="1157">
          <cell r="W1157">
            <v>1155</v>
          </cell>
          <cell r="AM1157" t="str">
            <v>VICHADA</v>
          </cell>
        </row>
        <row r="1158">
          <cell r="W1158">
            <v>1156</v>
          </cell>
        </row>
        <row r="1159">
          <cell r="W1159">
            <v>1157</v>
          </cell>
        </row>
        <row r="1160">
          <cell r="W1160">
            <v>1158</v>
          </cell>
        </row>
        <row r="1161">
          <cell r="W1161">
            <v>1159</v>
          </cell>
        </row>
        <row r="1162">
          <cell r="W1162">
            <v>1160</v>
          </cell>
        </row>
        <row r="1163">
          <cell r="W1163">
            <v>1161</v>
          </cell>
        </row>
        <row r="1164">
          <cell r="W1164">
            <v>1162</v>
          </cell>
        </row>
        <row r="1165">
          <cell r="W1165">
            <v>1163</v>
          </cell>
        </row>
        <row r="1166">
          <cell r="W1166">
            <v>1164</v>
          </cell>
        </row>
        <row r="1167">
          <cell r="W1167">
            <v>1165</v>
          </cell>
        </row>
        <row r="1168">
          <cell r="W1168">
            <v>1166</v>
          </cell>
        </row>
        <row r="1169">
          <cell r="W1169">
            <v>1167</v>
          </cell>
        </row>
        <row r="1170">
          <cell r="W1170">
            <v>1168</v>
          </cell>
        </row>
        <row r="1171">
          <cell r="W1171">
            <v>1169</v>
          </cell>
        </row>
        <row r="1172">
          <cell r="W1172">
            <v>1170</v>
          </cell>
        </row>
        <row r="1173">
          <cell r="W1173">
            <v>1171</v>
          </cell>
        </row>
        <row r="1174">
          <cell r="W1174">
            <v>1172</v>
          </cell>
        </row>
        <row r="1175">
          <cell r="W1175">
            <v>1173</v>
          </cell>
        </row>
        <row r="1176">
          <cell r="W1176">
            <v>1174</v>
          </cell>
        </row>
        <row r="1177">
          <cell r="W1177">
            <v>1175</v>
          </cell>
        </row>
        <row r="1178">
          <cell r="W1178">
            <v>1176</v>
          </cell>
        </row>
        <row r="1179">
          <cell r="W1179">
            <v>1177</v>
          </cell>
        </row>
        <row r="1180">
          <cell r="W1180">
            <v>1178</v>
          </cell>
        </row>
        <row r="1181">
          <cell r="W1181">
            <v>1179</v>
          </cell>
        </row>
        <row r="1182">
          <cell r="W1182">
            <v>1180</v>
          </cell>
        </row>
        <row r="1183">
          <cell r="W1183">
            <v>1181</v>
          </cell>
        </row>
        <row r="1184">
          <cell r="W1184">
            <v>1182</v>
          </cell>
        </row>
        <row r="1185">
          <cell r="W1185">
            <v>1183</v>
          </cell>
        </row>
        <row r="1186">
          <cell r="W1186">
            <v>1184</v>
          </cell>
        </row>
        <row r="1187">
          <cell r="W1187">
            <v>1185</v>
          </cell>
        </row>
        <row r="1188">
          <cell r="W1188">
            <v>1186</v>
          </cell>
        </row>
        <row r="1189">
          <cell r="W1189">
            <v>1187</v>
          </cell>
        </row>
        <row r="1190">
          <cell r="W1190">
            <v>1188</v>
          </cell>
        </row>
        <row r="1191">
          <cell r="W1191">
            <v>1189</v>
          </cell>
        </row>
        <row r="1192">
          <cell r="W1192">
            <v>1190</v>
          </cell>
        </row>
        <row r="1193">
          <cell r="W1193">
            <v>1191</v>
          </cell>
        </row>
        <row r="1194">
          <cell r="W1194">
            <v>1192</v>
          </cell>
        </row>
        <row r="1195">
          <cell r="W1195">
            <v>1193</v>
          </cell>
        </row>
        <row r="1196">
          <cell r="W1196">
            <v>1194</v>
          </cell>
        </row>
        <row r="1197">
          <cell r="W1197">
            <v>1195</v>
          </cell>
        </row>
        <row r="1198">
          <cell r="W1198">
            <v>1196</v>
          </cell>
        </row>
        <row r="1199">
          <cell r="W1199">
            <v>1197</v>
          </cell>
        </row>
        <row r="1200">
          <cell r="W1200">
            <v>1198</v>
          </cell>
        </row>
        <row r="1201">
          <cell r="W1201">
            <v>1199</v>
          </cell>
        </row>
        <row r="1202">
          <cell r="W1202">
            <v>1200</v>
          </cell>
        </row>
        <row r="1203">
          <cell r="W1203">
            <v>1201</v>
          </cell>
        </row>
        <row r="1204">
          <cell r="W1204">
            <v>1202</v>
          </cell>
        </row>
        <row r="1205">
          <cell r="W1205">
            <v>1203</v>
          </cell>
        </row>
        <row r="1206">
          <cell r="W1206">
            <v>1204</v>
          </cell>
        </row>
        <row r="1207">
          <cell r="W1207">
            <v>1205</v>
          </cell>
        </row>
        <row r="1208">
          <cell r="W1208">
            <v>1206</v>
          </cell>
        </row>
        <row r="1209">
          <cell r="W1209">
            <v>1207</v>
          </cell>
        </row>
        <row r="1210">
          <cell r="W1210">
            <v>1208</v>
          </cell>
        </row>
        <row r="1211">
          <cell r="W1211">
            <v>1209</v>
          </cell>
        </row>
        <row r="1212">
          <cell r="W1212">
            <v>1210</v>
          </cell>
        </row>
        <row r="1213">
          <cell r="W1213">
            <v>1211</v>
          </cell>
        </row>
        <row r="1214">
          <cell r="W1214">
            <v>1212</v>
          </cell>
        </row>
        <row r="1215">
          <cell r="W1215">
            <v>1213</v>
          </cell>
        </row>
        <row r="1216">
          <cell r="W1216">
            <v>1214</v>
          </cell>
        </row>
        <row r="1217">
          <cell r="W1217">
            <v>1215</v>
          </cell>
        </row>
        <row r="1218">
          <cell r="W1218">
            <v>1216</v>
          </cell>
        </row>
        <row r="1219">
          <cell r="W1219">
            <v>1217</v>
          </cell>
        </row>
        <row r="1220">
          <cell r="W1220">
            <v>1218</v>
          </cell>
        </row>
        <row r="1221">
          <cell r="W1221">
            <v>1219</v>
          </cell>
        </row>
        <row r="1222">
          <cell r="W1222">
            <v>1220</v>
          </cell>
        </row>
        <row r="1223">
          <cell r="W1223">
            <v>1221</v>
          </cell>
        </row>
        <row r="1224">
          <cell r="W1224">
            <v>1222</v>
          </cell>
        </row>
        <row r="1225">
          <cell r="W1225">
            <v>1223</v>
          </cell>
        </row>
        <row r="1226">
          <cell r="W1226">
            <v>1224</v>
          </cell>
        </row>
        <row r="1227">
          <cell r="W1227">
            <v>1225</v>
          </cell>
        </row>
        <row r="1228">
          <cell r="W1228">
            <v>1226</v>
          </cell>
        </row>
        <row r="1229">
          <cell r="W1229">
            <v>1227</v>
          </cell>
        </row>
        <row r="1230">
          <cell r="W1230">
            <v>1228</v>
          </cell>
        </row>
        <row r="1231">
          <cell r="W1231">
            <v>1229</v>
          </cell>
        </row>
        <row r="1232">
          <cell r="W1232">
            <v>1230</v>
          </cell>
        </row>
        <row r="1233">
          <cell r="W1233">
            <v>1231</v>
          </cell>
        </row>
        <row r="1234">
          <cell r="W1234">
            <v>1232</v>
          </cell>
        </row>
        <row r="1235">
          <cell r="W1235">
            <v>1233</v>
          </cell>
        </row>
        <row r="1236">
          <cell r="W1236">
            <v>1234</v>
          </cell>
        </row>
        <row r="1237">
          <cell r="W1237">
            <v>1235</v>
          </cell>
        </row>
        <row r="1238">
          <cell r="W1238">
            <v>1236</v>
          </cell>
        </row>
        <row r="1239">
          <cell r="W1239">
            <v>1237</v>
          </cell>
        </row>
        <row r="1240">
          <cell r="W1240">
            <v>1238</v>
          </cell>
        </row>
        <row r="1241">
          <cell r="W1241">
            <v>1239</v>
          </cell>
        </row>
        <row r="1242">
          <cell r="W1242">
            <v>1240</v>
          </cell>
        </row>
        <row r="1243">
          <cell r="W1243">
            <v>1241</v>
          </cell>
        </row>
        <row r="1244">
          <cell r="W1244">
            <v>1242</v>
          </cell>
        </row>
        <row r="1245">
          <cell r="W1245">
            <v>1243</v>
          </cell>
        </row>
        <row r="1246">
          <cell r="W1246">
            <v>1244</v>
          </cell>
        </row>
        <row r="1247">
          <cell r="W1247">
            <v>1245</v>
          </cell>
        </row>
        <row r="1248">
          <cell r="W1248">
            <v>1246</v>
          </cell>
        </row>
        <row r="1249">
          <cell r="W1249">
            <v>1247</v>
          </cell>
        </row>
        <row r="1250">
          <cell r="W1250">
            <v>1248</v>
          </cell>
        </row>
        <row r="1251">
          <cell r="W1251">
            <v>1249</v>
          </cell>
        </row>
        <row r="1252">
          <cell r="W1252">
            <v>1250</v>
          </cell>
        </row>
        <row r="1253">
          <cell r="W1253">
            <v>1251</v>
          </cell>
        </row>
        <row r="1254">
          <cell r="W1254">
            <v>1252</v>
          </cell>
        </row>
        <row r="1255">
          <cell r="W1255">
            <v>1253</v>
          </cell>
        </row>
        <row r="1256">
          <cell r="W1256">
            <v>1254</v>
          </cell>
        </row>
        <row r="1257">
          <cell r="W1257">
            <v>1255</v>
          </cell>
        </row>
        <row r="1258">
          <cell r="W1258">
            <v>1256</v>
          </cell>
        </row>
        <row r="1259">
          <cell r="W1259">
            <v>1257</v>
          </cell>
        </row>
        <row r="1260">
          <cell r="W1260">
            <v>1258</v>
          </cell>
        </row>
        <row r="1261">
          <cell r="W1261">
            <v>1259</v>
          </cell>
        </row>
        <row r="1262">
          <cell r="W1262">
            <v>1260</v>
          </cell>
        </row>
        <row r="1263">
          <cell r="W1263">
            <v>1261</v>
          </cell>
        </row>
        <row r="1264">
          <cell r="W1264">
            <v>1262</v>
          </cell>
        </row>
        <row r="1265">
          <cell r="W1265">
            <v>1263</v>
          </cell>
        </row>
        <row r="1266">
          <cell r="W1266">
            <v>1264</v>
          </cell>
        </row>
        <row r="1267">
          <cell r="W1267">
            <v>1265</v>
          </cell>
        </row>
        <row r="1268">
          <cell r="W1268">
            <v>1266</v>
          </cell>
        </row>
        <row r="1269">
          <cell r="W1269">
            <v>1267</v>
          </cell>
        </row>
        <row r="1270">
          <cell r="W1270">
            <v>1268</v>
          </cell>
        </row>
        <row r="1271">
          <cell r="W1271">
            <v>1269</v>
          </cell>
        </row>
        <row r="1272">
          <cell r="W1272">
            <v>1270</v>
          </cell>
        </row>
        <row r="1273">
          <cell r="W1273">
            <v>1271</v>
          </cell>
        </row>
        <row r="1274">
          <cell r="W1274">
            <v>1272</v>
          </cell>
        </row>
        <row r="1275">
          <cell r="W1275">
            <v>1273</v>
          </cell>
        </row>
        <row r="1276">
          <cell r="W1276">
            <v>1274</v>
          </cell>
        </row>
        <row r="1277">
          <cell r="W1277">
            <v>1275</v>
          </cell>
        </row>
        <row r="1278">
          <cell r="W1278">
            <v>1276</v>
          </cell>
        </row>
        <row r="1279">
          <cell r="W1279">
            <v>1277</v>
          </cell>
        </row>
        <row r="1280">
          <cell r="W1280">
            <v>1278</v>
          </cell>
        </row>
        <row r="1281">
          <cell r="W1281">
            <v>1279</v>
          </cell>
        </row>
        <row r="1282">
          <cell r="W1282">
            <v>1280</v>
          </cell>
        </row>
        <row r="1283">
          <cell r="W1283">
            <v>1281</v>
          </cell>
        </row>
        <row r="1284">
          <cell r="W1284">
            <v>1282</v>
          </cell>
        </row>
        <row r="1285">
          <cell r="W1285">
            <v>1283</v>
          </cell>
        </row>
        <row r="1286">
          <cell r="W1286">
            <v>1284</v>
          </cell>
        </row>
        <row r="1287">
          <cell r="W1287">
            <v>1285</v>
          </cell>
        </row>
        <row r="1288">
          <cell r="W1288">
            <v>1286</v>
          </cell>
        </row>
        <row r="1289">
          <cell r="W1289">
            <v>1287</v>
          </cell>
        </row>
        <row r="1290">
          <cell r="W1290">
            <v>1288</v>
          </cell>
        </row>
        <row r="1291">
          <cell r="W1291">
            <v>1289</v>
          </cell>
        </row>
        <row r="1292">
          <cell r="W1292">
            <v>1290</v>
          </cell>
        </row>
        <row r="1293">
          <cell r="W1293">
            <v>1291</v>
          </cell>
        </row>
        <row r="1294">
          <cell r="W1294">
            <v>1292</v>
          </cell>
        </row>
        <row r="1295">
          <cell r="W1295">
            <v>1293</v>
          </cell>
        </row>
        <row r="1296">
          <cell r="W1296">
            <v>1294</v>
          </cell>
        </row>
        <row r="1297">
          <cell r="W1297">
            <v>1295</v>
          </cell>
        </row>
        <row r="1298">
          <cell r="W1298">
            <v>1296</v>
          </cell>
        </row>
        <row r="1299">
          <cell r="W1299">
            <v>1297</v>
          </cell>
        </row>
        <row r="1300">
          <cell r="W1300">
            <v>1298</v>
          </cell>
        </row>
        <row r="1301">
          <cell r="W1301">
            <v>1299</v>
          </cell>
        </row>
        <row r="1302">
          <cell r="W1302">
            <v>1300</v>
          </cell>
        </row>
        <row r="1303">
          <cell r="W1303">
            <v>1301</v>
          </cell>
        </row>
        <row r="1304">
          <cell r="W1304">
            <v>1302</v>
          </cell>
        </row>
        <row r="1305">
          <cell r="W1305">
            <v>1303</v>
          </cell>
        </row>
        <row r="1306">
          <cell r="W1306">
            <v>1304</v>
          </cell>
        </row>
        <row r="1307">
          <cell r="W1307">
            <v>1305</v>
          </cell>
        </row>
        <row r="1308">
          <cell r="W1308">
            <v>1306</v>
          </cell>
        </row>
        <row r="1309">
          <cell r="W1309">
            <v>1307</v>
          </cell>
        </row>
        <row r="1310">
          <cell r="W1310">
            <v>1308</v>
          </cell>
        </row>
        <row r="1311">
          <cell r="W1311">
            <v>1309</v>
          </cell>
        </row>
        <row r="1312">
          <cell r="W1312">
            <v>1310</v>
          </cell>
        </row>
        <row r="1313">
          <cell r="W1313">
            <v>1311</v>
          </cell>
        </row>
        <row r="1314">
          <cell r="W1314">
            <v>1312</v>
          </cell>
        </row>
        <row r="1315">
          <cell r="W1315">
            <v>1313</v>
          </cell>
        </row>
        <row r="1316">
          <cell r="W1316">
            <v>1314</v>
          </cell>
        </row>
        <row r="1317">
          <cell r="W1317">
            <v>1315</v>
          </cell>
        </row>
        <row r="1318">
          <cell r="W1318">
            <v>1316</v>
          </cell>
        </row>
        <row r="1319">
          <cell r="W1319">
            <v>1317</v>
          </cell>
        </row>
        <row r="1320">
          <cell r="W1320">
            <v>1318</v>
          </cell>
        </row>
        <row r="1321">
          <cell r="W1321">
            <v>1319</v>
          </cell>
        </row>
        <row r="1322">
          <cell r="W1322">
            <v>1320</v>
          </cell>
        </row>
        <row r="1323">
          <cell r="W1323">
            <v>1321</v>
          </cell>
        </row>
        <row r="1324">
          <cell r="W1324">
            <v>1322</v>
          </cell>
        </row>
        <row r="1325">
          <cell r="W1325">
            <v>1323</v>
          </cell>
        </row>
        <row r="1326">
          <cell r="W1326">
            <v>1324</v>
          </cell>
        </row>
        <row r="1327">
          <cell r="W1327">
            <v>1325</v>
          </cell>
        </row>
        <row r="1328">
          <cell r="W1328">
            <v>1326</v>
          </cell>
        </row>
        <row r="1329">
          <cell r="W1329">
            <v>1327</v>
          </cell>
        </row>
        <row r="1330">
          <cell r="W1330">
            <v>1328</v>
          </cell>
        </row>
        <row r="1331">
          <cell r="W1331">
            <v>1329</v>
          </cell>
        </row>
        <row r="1332">
          <cell r="W1332">
            <v>1330</v>
          </cell>
        </row>
        <row r="1333">
          <cell r="W1333">
            <v>1331</v>
          </cell>
        </row>
        <row r="1334">
          <cell r="W1334">
            <v>1332</v>
          </cell>
        </row>
        <row r="1335">
          <cell r="W1335">
            <v>1333</v>
          </cell>
        </row>
        <row r="1336">
          <cell r="W1336">
            <v>1334</v>
          </cell>
        </row>
        <row r="1337">
          <cell r="W1337">
            <v>1335</v>
          </cell>
        </row>
        <row r="1338">
          <cell r="W1338">
            <v>1336</v>
          </cell>
        </row>
        <row r="1339">
          <cell r="W1339">
            <v>1337</v>
          </cell>
        </row>
        <row r="1340">
          <cell r="W1340">
            <v>1338</v>
          </cell>
        </row>
        <row r="1341">
          <cell r="W1341">
            <v>1339</v>
          </cell>
        </row>
        <row r="1342">
          <cell r="W1342">
            <v>1340</v>
          </cell>
        </row>
        <row r="1343">
          <cell r="W1343">
            <v>1341</v>
          </cell>
        </row>
        <row r="1344">
          <cell r="W1344">
            <v>1342</v>
          </cell>
        </row>
        <row r="1345">
          <cell r="W1345">
            <v>1343</v>
          </cell>
        </row>
        <row r="1346">
          <cell r="W1346">
            <v>1344</v>
          </cell>
        </row>
        <row r="1347">
          <cell r="W1347">
            <v>1345</v>
          </cell>
        </row>
        <row r="1348">
          <cell r="W1348">
            <v>1346</v>
          </cell>
        </row>
        <row r="1349">
          <cell r="W1349">
            <v>1347</v>
          </cell>
        </row>
        <row r="1350">
          <cell r="W1350">
            <v>1348</v>
          </cell>
        </row>
        <row r="1351">
          <cell r="W1351">
            <v>1349</v>
          </cell>
        </row>
        <row r="1352">
          <cell r="W1352">
            <v>1350</v>
          </cell>
        </row>
        <row r="1353">
          <cell r="W1353">
            <v>1351</v>
          </cell>
        </row>
        <row r="1354">
          <cell r="W1354">
            <v>1352</v>
          </cell>
        </row>
        <row r="1355">
          <cell r="W1355">
            <v>1353</v>
          </cell>
        </row>
        <row r="1356">
          <cell r="W1356">
            <v>1354</v>
          </cell>
        </row>
        <row r="1357">
          <cell r="W1357">
            <v>1355</v>
          </cell>
        </row>
        <row r="1358">
          <cell r="W1358">
            <v>1356</v>
          </cell>
        </row>
        <row r="1359">
          <cell r="W1359">
            <v>1357</v>
          </cell>
        </row>
        <row r="1360">
          <cell r="W1360">
            <v>1358</v>
          </cell>
        </row>
        <row r="1361">
          <cell r="W1361">
            <v>1359</v>
          </cell>
        </row>
        <row r="1362">
          <cell r="W1362">
            <v>1360</v>
          </cell>
        </row>
        <row r="1363">
          <cell r="W1363">
            <v>1361</v>
          </cell>
        </row>
        <row r="1364">
          <cell r="W1364">
            <v>1362</v>
          </cell>
        </row>
        <row r="1365">
          <cell r="W1365">
            <v>1363</v>
          </cell>
        </row>
        <row r="1366">
          <cell r="W1366">
            <v>1364</v>
          </cell>
        </row>
        <row r="1367">
          <cell r="W1367">
            <v>1365</v>
          </cell>
        </row>
        <row r="1368">
          <cell r="W1368">
            <v>1366</v>
          </cell>
        </row>
        <row r="1369">
          <cell r="W1369">
            <v>1367</v>
          </cell>
        </row>
        <row r="1370">
          <cell r="W1370">
            <v>1368</v>
          </cell>
        </row>
        <row r="1371">
          <cell r="W1371">
            <v>1369</v>
          </cell>
        </row>
        <row r="1372">
          <cell r="W1372">
            <v>1370</v>
          </cell>
        </row>
        <row r="1373">
          <cell r="W1373">
            <v>1371</v>
          </cell>
        </row>
        <row r="1374">
          <cell r="W1374">
            <v>1372</v>
          </cell>
        </row>
        <row r="1375">
          <cell r="W1375">
            <v>1373</v>
          </cell>
        </row>
        <row r="1376">
          <cell r="W1376">
            <v>1374</v>
          </cell>
        </row>
        <row r="1377">
          <cell r="W1377">
            <v>1375</v>
          </cell>
        </row>
        <row r="1378">
          <cell r="W1378">
            <v>1376</v>
          </cell>
        </row>
        <row r="1379">
          <cell r="W1379">
            <v>1377</v>
          </cell>
        </row>
        <row r="1380">
          <cell r="W1380">
            <v>1378</v>
          </cell>
        </row>
        <row r="1381">
          <cell r="W1381">
            <v>1379</v>
          </cell>
        </row>
        <row r="1382">
          <cell r="W1382">
            <v>1380</v>
          </cell>
        </row>
        <row r="1383">
          <cell r="W1383">
            <v>1381</v>
          </cell>
        </row>
        <row r="1384">
          <cell r="W1384">
            <v>1382</v>
          </cell>
        </row>
        <row r="1385">
          <cell r="W1385">
            <v>1383</v>
          </cell>
        </row>
        <row r="1386">
          <cell r="W1386">
            <v>1384</v>
          </cell>
        </row>
        <row r="1387">
          <cell r="W1387">
            <v>1385</v>
          </cell>
        </row>
        <row r="1388">
          <cell r="W1388">
            <v>1386</v>
          </cell>
        </row>
        <row r="1389">
          <cell r="W1389">
            <v>1387</v>
          </cell>
        </row>
        <row r="1390">
          <cell r="W1390">
            <v>1388</v>
          </cell>
        </row>
        <row r="1391">
          <cell r="W1391">
            <v>1389</v>
          </cell>
        </row>
        <row r="1392">
          <cell r="W1392">
            <v>1390</v>
          </cell>
        </row>
        <row r="1393">
          <cell r="W1393">
            <v>1391</v>
          </cell>
        </row>
        <row r="1394">
          <cell r="W1394">
            <v>1392</v>
          </cell>
        </row>
        <row r="1395">
          <cell r="W1395">
            <v>1393</v>
          </cell>
        </row>
        <row r="1396">
          <cell r="W1396">
            <v>1394</v>
          </cell>
        </row>
        <row r="1397">
          <cell r="W1397">
            <v>1395</v>
          </cell>
        </row>
        <row r="1398">
          <cell r="W1398">
            <v>1396</v>
          </cell>
        </row>
        <row r="1399">
          <cell r="W1399">
            <v>1397</v>
          </cell>
        </row>
        <row r="1400">
          <cell r="W1400">
            <v>1398</v>
          </cell>
        </row>
        <row r="1401">
          <cell r="W1401">
            <v>1399</v>
          </cell>
        </row>
        <row r="1402">
          <cell r="W1402">
            <v>1400</v>
          </cell>
        </row>
        <row r="1403">
          <cell r="W1403">
            <v>1401</v>
          </cell>
        </row>
        <row r="1404">
          <cell r="W1404">
            <v>1402</v>
          </cell>
        </row>
        <row r="1405">
          <cell r="W1405">
            <v>1403</v>
          </cell>
        </row>
        <row r="1406">
          <cell r="W1406">
            <v>1404</v>
          </cell>
        </row>
        <row r="1407">
          <cell r="W1407">
            <v>1405</v>
          </cell>
        </row>
        <row r="1408">
          <cell r="W1408">
            <v>1406</v>
          </cell>
        </row>
        <row r="1409">
          <cell r="W1409">
            <v>1407</v>
          </cell>
        </row>
        <row r="1410">
          <cell r="W1410">
            <v>1408</v>
          </cell>
        </row>
        <row r="1411">
          <cell r="W1411">
            <v>1409</v>
          </cell>
        </row>
        <row r="1412">
          <cell r="W1412">
            <v>1410</v>
          </cell>
        </row>
        <row r="1413">
          <cell r="W1413">
            <v>1411</v>
          </cell>
        </row>
        <row r="1414">
          <cell r="W1414">
            <v>1412</v>
          </cell>
        </row>
        <row r="1415">
          <cell r="W1415">
            <v>1413</v>
          </cell>
        </row>
        <row r="1416">
          <cell r="W1416">
            <v>1414</v>
          </cell>
        </row>
        <row r="1417">
          <cell r="W1417">
            <v>1415</v>
          </cell>
        </row>
        <row r="1418">
          <cell r="W1418">
            <v>1416</v>
          </cell>
        </row>
        <row r="1419">
          <cell r="W1419">
            <v>1417</v>
          </cell>
        </row>
        <row r="1420">
          <cell r="W1420">
            <v>1418</v>
          </cell>
        </row>
        <row r="1421">
          <cell r="W1421">
            <v>1419</v>
          </cell>
        </row>
        <row r="1422">
          <cell r="W1422">
            <v>1420</v>
          </cell>
        </row>
        <row r="1423">
          <cell r="W1423">
            <v>1421</v>
          </cell>
        </row>
        <row r="1424">
          <cell r="W1424">
            <v>1422</v>
          </cell>
        </row>
        <row r="1425">
          <cell r="W1425">
            <v>1423</v>
          </cell>
        </row>
        <row r="1426">
          <cell r="W1426">
            <v>1424</v>
          </cell>
        </row>
        <row r="1427">
          <cell r="W1427">
            <v>1425</v>
          </cell>
        </row>
        <row r="1428">
          <cell r="W1428">
            <v>1426</v>
          </cell>
        </row>
        <row r="1429">
          <cell r="W1429">
            <v>1427</v>
          </cell>
        </row>
        <row r="1430">
          <cell r="W1430">
            <v>1428</v>
          </cell>
        </row>
        <row r="1431">
          <cell r="W1431">
            <v>1429</v>
          </cell>
        </row>
        <row r="1432">
          <cell r="W1432">
            <v>1430</v>
          </cell>
        </row>
        <row r="1433">
          <cell r="W1433">
            <v>1431</v>
          </cell>
        </row>
        <row r="1434">
          <cell r="W1434">
            <v>1432</v>
          </cell>
        </row>
        <row r="1435">
          <cell r="W1435">
            <v>1433</v>
          </cell>
        </row>
        <row r="1436">
          <cell r="W1436">
            <v>1434</v>
          </cell>
        </row>
        <row r="1437">
          <cell r="W1437">
            <v>1435</v>
          </cell>
        </row>
        <row r="1438">
          <cell r="W1438">
            <v>1436</v>
          </cell>
        </row>
        <row r="1439">
          <cell r="W1439">
            <v>1437</v>
          </cell>
        </row>
        <row r="1440">
          <cell r="W1440">
            <v>1438</v>
          </cell>
        </row>
        <row r="1441">
          <cell r="W1441">
            <v>1439</v>
          </cell>
        </row>
        <row r="1442">
          <cell r="W1442">
            <v>1440</v>
          </cell>
        </row>
        <row r="1443">
          <cell r="W1443">
            <v>1441</v>
          </cell>
        </row>
        <row r="1444">
          <cell r="W1444">
            <v>1442</v>
          </cell>
        </row>
        <row r="1445">
          <cell r="W1445">
            <v>1443</v>
          </cell>
        </row>
        <row r="1446">
          <cell r="W1446">
            <v>1444</v>
          </cell>
        </row>
        <row r="1447">
          <cell r="W1447">
            <v>1445</v>
          </cell>
        </row>
        <row r="1448">
          <cell r="W1448">
            <v>1446</v>
          </cell>
        </row>
        <row r="1449">
          <cell r="W1449">
            <v>1447</v>
          </cell>
        </row>
        <row r="1450">
          <cell r="W1450">
            <v>1448</v>
          </cell>
        </row>
        <row r="1451">
          <cell r="W1451">
            <v>1449</v>
          </cell>
        </row>
        <row r="1452">
          <cell r="W1452">
            <v>1450</v>
          </cell>
        </row>
        <row r="1453">
          <cell r="W1453">
            <v>1451</v>
          </cell>
        </row>
        <row r="1454">
          <cell r="W1454">
            <v>1452</v>
          </cell>
        </row>
        <row r="1455">
          <cell r="W1455">
            <v>1453</v>
          </cell>
        </row>
        <row r="1456">
          <cell r="W1456">
            <v>1454</v>
          </cell>
        </row>
        <row r="1457">
          <cell r="W1457">
            <v>1455</v>
          </cell>
        </row>
        <row r="1458">
          <cell r="W1458">
            <v>1456</v>
          </cell>
        </row>
        <row r="1459">
          <cell r="W1459">
            <v>1457</v>
          </cell>
        </row>
        <row r="1460">
          <cell r="W1460">
            <v>1458</v>
          </cell>
        </row>
        <row r="1461">
          <cell r="W1461">
            <v>1459</v>
          </cell>
        </row>
        <row r="1462">
          <cell r="W1462">
            <v>1460</v>
          </cell>
        </row>
        <row r="1463">
          <cell r="W1463">
            <v>1461</v>
          </cell>
        </row>
        <row r="1464">
          <cell r="W1464">
            <v>1462</v>
          </cell>
        </row>
        <row r="1465">
          <cell r="W1465">
            <v>1463</v>
          </cell>
        </row>
        <row r="1466">
          <cell r="W1466">
            <v>1464</v>
          </cell>
        </row>
        <row r="1467">
          <cell r="W1467">
            <v>1465</v>
          </cell>
        </row>
        <row r="1468">
          <cell r="W1468">
            <v>1466</v>
          </cell>
        </row>
        <row r="1469">
          <cell r="W1469">
            <v>1467</v>
          </cell>
        </row>
        <row r="1470">
          <cell r="W1470">
            <v>1468</v>
          </cell>
        </row>
        <row r="1471">
          <cell r="W1471">
            <v>1469</v>
          </cell>
        </row>
        <row r="1472">
          <cell r="W1472">
            <v>1470</v>
          </cell>
        </row>
        <row r="1473">
          <cell r="W1473">
            <v>1471</v>
          </cell>
        </row>
        <row r="1474">
          <cell r="W1474">
            <v>1472</v>
          </cell>
        </row>
        <row r="1475">
          <cell r="W1475">
            <v>1473</v>
          </cell>
        </row>
        <row r="1476">
          <cell r="W1476">
            <v>1474</v>
          </cell>
        </row>
        <row r="1477">
          <cell r="W1477">
            <v>1475</v>
          </cell>
        </row>
        <row r="1478">
          <cell r="W1478">
            <v>1476</v>
          </cell>
        </row>
        <row r="1479">
          <cell r="W1479">
            <v>1477</v>
          </cell>
        </row>
        <row r="1480">
          <cell r="W1480">
            <v>1478</v>
          </cell>
        </row>
        <row r="1481">
          <cell r="W1481">
            <v>1479</v>
          </cell>
        </row>
        <row r="1482">
          <cell r="W1482">
            <v>1480</v>
          </cell>
        </row>
        <row r="1483">
          <cell r="W1483">
            <v>1481</v>
          </cell>
        </row>
        <row r="1484">
          <cell r="W1484">
            <v>1482</v>
          </cell>
        </row>
        <row r="1485">
          <cell r="W1485">
            <v>1483</v>
          </cell>
        </row>
        <row r="1486">
          <cell r="W1486">
            <v>1484</v>
          </cell>
        </row>
        <row r="1487">
          <cell r="W1487">
            <v>1485</v>
          </cell>
        </row>
        <row r="1488">
          <cell r="W1488">
            <v>1486</v>
          </cell>
        </row>
        <row r="1489">
          <cell r="W1489">
            <v>1487</v>
          </cell>
        </row>
        <row r="1490">
          <cell r="W1490">
            <v>1488</v>
          </cell>
        </row>
        <row r="1491">
          <cell r="W1491">
            <v>1489</v>
          </cell>
        </row>
        <row r="1492">
          <cell r="W1492">
            <v>1490</v>
          </cell>
        </row>
        <row r="1493">
          <cell r="W1493">
            <v>1491</v>
          </cell>
        </row>
        <row r="1494">
          <cell r="W1494">
            <v>1492</v>
          </cell>
        </row>
        <row r="1495">
          <cell r="W1495">
            <v>1493</v>
          </cell>
        </row>
        <row r="1496">
          <cell r="W1496">
            <v>1494</v>
          </cell>
        </row>
        <row r="1497">
          <cell r="W1497">
            <v>1495</v>
          </cell>
        </row>
        <row r="1498">
          <cell r="W1498">
            <v>1496</v>
          </cell>
        </row>
        <row r="1499">
          <cell r="W1499">
            <v>1497</v>
          </cell>
        </row>
        <row r="1500">
          <cell r="W1500">
            <v>1498</v>
          </cell>
        </row>
        <row r="1501">
          <cell r="W1501">
            <v>1499</v>
          </cell>
        </row>
        <row r="1502">
          <cell r="W1502">
            <v>1500</v>
          </cell>
        </row>
      </sheetData>
      <sheetData sheetId="12"/>
      <sheetData sheetId="13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A376"/>
  <sheetViews>
    <sheetView tabSelected="1" view="pageBreakPreview" topLeftCell="A46" zoomScale="85" zoomScaleNormal="70" zoomScaleSheetLayoutView="85" workbookViewId="0">
      <selection activeCell="M7" sqref="M7"/>
    </sheetView>
  </sheetViews>
  <sheetFormatPr baseColWidth="10" defaultColWidth="14.42578125" defaultRowHeight="15" x14ac:dyDescent="0.25"/>
  <cols>
    <col min="1" max="1" width="7.28515625" style="34" customWidth="1"/>
    <col min="2" max="2" width="9.140625" style="34" customWidth="1"/>
    <col min="3" max="3" width="28" style="110" customWidth="1"/>
    <col min="4" max="4" width="48.85546875" style="34" bestFit="1" customWidth="1"/>
    <col min="5" max="5" width="8" style="34" bestFit="1" customWidth="1"/>
    <col min="6" max="7" width="8.28515625" style="34" bestFit="1" customWidth="1"/>
    <col min="8" max="8" width="12.7109375" style="34" customWidth="1"/>
    <col min="9" max="9" width="14.140625" style="34" bestFit="1" customWidth="1"/>
    <col min="10" max="10" width="14.28515625" style="34" bestFit="1" customWidth="1"/>
    <col min="11" max="11" width="11.28515625" style="34" bestFit="1" customWidth="1"/>
    <col min="12" max="12" width="7.7109375" style="34" bestFit="1" customWidth="1"/>
    <col min="13" max="13" width="13" style="34" bestFit="1" customWidth="1"/>
    <col min="14" max="14" width="22.28515625" style="34" bestFit="1" customWidth="1"/>
    <col min="15" max="15" width="17.7109375" style="34" customWidth="1"/>
    <col min="16" max="27" width="11.42578125" style="34" customWidth="1"/>
    <col min="28" max="16384" width="14.42578125" style="34"/>
  </cols>
  <sheetData>
    <row r="1" spans="1:27" ht="15.75" x14ac:dyDescent="0.25">
      <c r="A1" s="208" t="s">
        <v>252</v>
      </c>
      <c r="B1" s="208"/>
      <c r="C1" s="208"/>
      <c r="D1" s="208"/>
      <c r="E1" s="208"/>
      <c r="F1" s="208"/>
      <c r="G1" s="208"/>
      <c r="H1" s="208"/>
      <c r="I1" s="209"/>
      <c r="J1" s="209"/>
      <c r="K1" s="31" t="s">
        <v>0</v>
      </c>
      <c r="L1" s="32"/>
      <c r="M1" s="32"/>
      <c r="N1" s="33"/>
      <c r="O1" s="32"/>
      <c r="P1" s="32"/>
      <c r="Q1" s="32"/>
      <c r="R1" s="32"/>
      <c r="S1" s="32"/>
      <c r="T1" s="32"/>
      <c r="U1" s="32"/>
      <c r="V1" s="32"/>
      <c r="W1" s="32"/>
      <c r="X1" s="32"/>
      <c r="Y1" s="32"/>
      <c r="Z1" s="32"/>
      <c r="AA1" s="32"/>
    </row>
    <row r="2" spans="1:27" ht="15.75" x14ac:dyDescent="0.25">
      <c r="A2" s="213" t="s">
        <v>1</v>
      </c>
      <c r="B2" s="214"/>
      <c r="C2" s="215" t="s">
        <v>2</v>
      </c>
      <c r="D2" s="215"/>
      <c r="E2" s="215"/>
      <c r="F2" s="3" t="s">
        <v>3</v>
      </c>
      <c r="G2" s="210">
        <v>44890</v>
      </c>
      <c r="H2" s="210"/>
      <c r="I2" s="209"/>
      <c r="J2" s="209"/>
      <c r="K2" s="31"/>
      <c r="L2" s="32"/>
      <c r="M2" s="32"/>
      <c r="N2" s="33"/>
      <c r="O2" s="32"/>
      <c r="P2" s="32"/>
      <c r="Q2" s="32"/>
      <c r="R2" s="32"/>
      <c r="S2" s="32"/>
      <c r="T2" s="32"/>
      <c r="U2" s="32"/>
      <c r="V2" s="32"/>
      <c r="W2" s="32"/>
      <c r="X2" s="32"/>
      <c r="Y2" s="32"/>
      <c r="Z2" s="32"/>
      <c r="AA2" s="32"/>
    </row>
    <row r="3" spans="1:27" ht="15.75" x14ac:dyDescent="0.25">
      <c r="A3" s="213" t="s">
        <v>4</v>
      </c>
      <c r="B3" s="214"/>
      <c r="C3" s="215" t="s">
        <v>195</v>
      </c>
      <c r="D3" s="215"/>
      <c r="E3" s="215"/>
      <c r="F3" s="215"/>
      <c r="G3" s="215"/>
      <c r="H3" s="215"/>
      <c r="I3" s="209"/>
      <c r="J3" s="209"/>
      <c r="K3" s="31"/>
      <c r="L3" s="32"/>
      <c r="M3" s="32"/>
      <c r="N3" s="33"/>
      <c r="O3" s="32"/>
      <c r="P3" s="32"/>
      <c r="Q3" s="32"/>
      <c r="R3" s="32"/>
      <c r="S3" s="32"/>
      <c r="T3" s="32"/>
      <c r="U3" s="32"/>
      <c r="V3" s="32"/>
      <c r="W3" s="32"/>
      <c r="X3" s="32"/>
      <c r="Y3" s="32"/>
      <c r="Z3" s="32"/>
      <c r="AA3" s="32"/>
    </row>
    <row r="4" spans="1:27" ht="15.75" x14ac:dyDescent="0.25">
      <c r="A4" s="213" t="s">
        <v>5</v>
      </c>
      <c r="B4" s="214"/>
      <c r="C4" s="215" t="s">
        <v>6</v>
      </c>
      <c r="D4" s="215"/>
      <c r="E4" s="215"/>
      <c r="F4" s="215"/>
      <c r="G4" s="215"/>
      <c r="H4" s="215"/>
      <c r="I4" s="209"/>
      <c r="J4" s="209"/>
      <c r="K4" s="31"/>
      <c r="L4" s="32"/>
      <c r="M4" s="32"/>
      <c r="N4" s="33"/>
      <c r="O4" s="32"/>
      <c r="P4" s="32"/>
      <c r="Q4" s="32"/>
      <c r="R4" s="32"/>
      <c r="S4" s="32"/>
      <c r="T4" s="32"/>
      <c r="U4" s="32"/>
      <c r="V4" s="32"/>
      <c r="W4" s="32"/>
      <c r="X4" s="32"/>
      <c r="Y4" s="32"/>
      <c r="Z4" s="32"/>
      <c r="AA4" s="32"/>
    </row>
    <row r="5" spans="1:27" ht="15.75" x14ac:dyDescent="0.25">
      <c r="A5" s="213" t="s">
        <v>7</v>
      </c>
      <c r="B5" s="214"/>
      <c r="C5" s="215" t="s">
        <v>8</v>
      </c>
      <c r="D5" s="215"/>
      <c r="E5" s="215"/>
      <c r="F5" s="215"/>
      <c r="G5" s="215"/>
      <c r="H5" s="215"/>
      <c r="I5" s="209"/>
      <c r="J5" s="209"/>
      <c r="K5" s="31"/>
      <c r="L5" s="35"/>
      <c r="M5" s="35"/>
      <c r="N5" s="36"/>
      <c r="O5" s="35"/>
      <c r="P5" s="35"/>
      <c r="Q5" s="35"/>
      <c r="R5" s="32"/>
      <c r="S5" s="32"/>
      <c r="T5" s="32"/>
      <c r="U5" s="32"/>
      <c r="V5" s="32"/>
      <c r="W5" s="32"/>
      <c r="X5" s="32"/>
      <c r="Y5" s="32"/>
      <c r="Z5" s="32"/>
      <c r="AA5" s="32"/>
    </row>
    <row r="6" spans="1:27" ht="15.75" x14ac:dyDescent="0.25">
      <c r="A6" s="215" t="s">
        <v>196</v>
      </c>
      <c r="B6" s="214"/>
      <c r="C6" s="215" t="s">
        <v>9</v>
      </c>
      <c r="D6" s="215"/>
      <c r="E6" s="215"/>
      <c r="F6" s="215"/>
      <c r="G6" s="215"/>
      <c r="H6" s="215"/>
      <c r="I6" s="209"/>
      <c r="J6" s="209"/>
      <c r="K6" s="31"/>
      <c r="L6" s="37"/>
      <c r="M6" s="37"/>
      <c r="N6" s="38"/>
      <c r="O6" s="39"/>
      <c r="P6" s="39"/>
      <c r="Q6" s="39"/>
      <c r="R6" s="32"/>
      <c r="S6" s="32"/>
      <c r="T6" s="32"/>
      <c r="U6" s="32"/>
      <c r="V6" s="32"/>
      <c r="W6" s="32"/>
      <c r="X6" s="32"/>
      <c r="Y6" s="32"/>
      <c r="Z6" s="32"/>
      <c r="AA6" s="32"/>
    </row>
    <row r="7" spans="1:27" ht="15.75" x14ac:dyDescent="0.25">
      <c r="A7" s="216"/>
      <c r="B7" s="216"/>
      <c r="C7" s="216"/>
      <c r="D7" s="216"/>
      <c r="E7" s="216"/>
      <c r="F7" s="216"/>
      <c r="G7" s="216"/>
      <c r="H7" s="216"/>
      <c r="I7" s="216"/>
      <c r="J7" s="216"/>
      <c r="K7" s="31"/>
      <c r="L7" s="37"/>
      <c r="M7" s="37"/>
      <c r="N7" s="40"/>
      <c r="O7" s="41"/>
      <c r="P7" s="41"/>
      <c r="Q7" s="41"/>
      <c r="R7" s="32"/>
      <c r="S7" s="32"/>
      <c r="T7" s="32"/>
      <c r="U7" s="32"/>
      <c r="V7" s="32"/>
      <c r="W7" s="32"/>
      <c r="X7" s="32"/>
      <c r="Y7" s="32"/>
      <c r="Z7" s="32"/>
      <c r="AA7" s="32"/>
    </row>
    <row r="8" spans="1:27" ht="15.75" x14ac:dyDescent="0.25">
      <c r="A8" s="53" t="s">
        <v>10</v>
      </c>
      <c r="B8" s="53" t="s">
        <v>11</v>
      </c>
      <c r="C8" s="29" t="s">
        <v>12</v>
      </c>
      <c r="D8" s="29" t="s">
        <v>13</v>
      </c>
      <c r="E8" s="53" t="s">
        <v>14</v>
      </c>
      <c r="F8" s="53" t="s">
        <v>15</v>
      </c>
      <c r="G8" s="53" t="s">
        <v>185</v>
      </c>
      <c r="H8" s="53" t="s">
        <v>17</v>
      </c>
      <c r="I8" s="53" t="s">
        <v>18</v>
      </c>
      <c r="J8" s="53" t="s">
        <v>19</v>
      </c>
      <c r="K8" s="31"/>
      <c r="L8" s="37"/>
      <c r="M8" s="37"/>
      <c r="N8" s="43"/>
      <c r="O8" s="37"/>
      <c r="P8" s="37"/>
      <c r="Q8" s="37"/>
      <c r="R8" s="32"/>
      <c r="S8" s="32"/>
      <c r="T8" s="32"/>
      <c r="U8" s="32"/>
      <c r="V8" s="32"/>
      <c r="W8" s="32"/>
      <c r="X8" s="32"/>
      <c r="Y8" s="32"/>
      <c r="Z8" s="32"/>
      <c r="AA8" s="32"/>
    </row>
    <row r="9" spans="1:27" x14ac:dyDescent="0.25">
      <c r="A9" s="203" t="s">
        <v>20</v>
      </c>
      <c r="B9" s="54" t="s">
        <v>198</v>
      </c>
      <c r="C9" s="205" t="s">
        <v>21</v>
      </c>
      <c r="D9" s="205"/>
      <c r="E9" s="55" t="s">
        <v>22</v>
      </c>
      <c r="F9" s="102">
        <v>1</v>
      </c>
      <c r="G9" s="55" t="s">
        <v>40</v>
      </c>
      <c r="H9" s="55" t="s">
        <v>40</v>
      </c>
      <c r="I9" s="56">
        <v>1500000</v>
      </c>
      <c r="J9" s="56">
        <f>I9</f>
        <v>1500000</v>
      </c>
      <c r="K9" s="31"/>
      <c r="L9" s="32"/>
      <c r="M9" s="32"/>
      <c r="N9" s="33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  <c r="AA9" s="32"/>
    </row>
    <row r="10" spans="1:27" x14ac:dyDescent="0.25">
      <c r="A10" s="217"/>
      <c r="B10" s="54" t="s">
        <v>199</v>
      </c>
      <c r="C10" s="58" t="s">
        <v>23</v>
      </c>
      <c r="D10" s="58" t="s">
        <v>24</v>
      </c>
      <c r="E10" s="55" t="s">
        <v>22</v>
      </c>
      <c r="F10" s="102">
        <v>1</v>
      </c>
      <c r="G10" s="55" t="s">
        <v>40</v>
      </c>
      <c r="H10" s="55" t="s">
        <v>40</v>
      </c>
      <c r="I10" s="56">
        <v>1900000</v>
      </c>
      <c r="J10" s="56">
        <f t="shared" ref="J10:J12" si="0">F10*I10</f>
        <v>1900000</v>
      </c>
      <c r="K10" s="31"/>
      <c r="L10" s="32"/>
      <c r="M10" s="32"/>
      <c r="N10" s="33"/>
      <c r="O10" s="32"/>
      <c r="P10" s="32"/>
      <c r="Q10" s="32"/>
      <c r="R10" s="32"/>
      <c r="S10" s="32"/>
      <c r="T10" s="32"/>
      <c r="U10" s="32"/>
      <c r="V10" s="32"/>
      <c r="W10" s="32"/>
      <c r="X10" s="32"/>
      <c r="Y10" s="32"/>
      <c r="Z10" s="32"/>
      <c r="AA10" s="32"/>
    </row>
    <row r="11" spans="1:27" x14ac:dyDescent="0.25">
      <c r="A11" s="217"/>
      <c r="B11" s="54" t="s">
        <v>200</v>
      </c>
      <c r="C11" s="206" t="s">
        <v>197</v>
      </c>
      <c r="D11" s="207"/>
      <c r="E11" s="55" t="s">
        <v>22</v>
      </c>
      <c r="F11" s="102">
        <v>1</v>
      </c>
      <c r="G11" s="55"/>
      <c r="H11" s="55"/>
      <c r="I11" s="56">
        <v>1500000</v>
      </c>
      <c r="J11" s="56">
        <f t="shared" si="0"/>
        <v>1500000</v>
      </c>
      <c r="K11" s="31"/>
      <c r="L11" s="32"/>
      <c r="M11" s="32"/>
      <c r="N11" s="33"/>
      <c r="O11" s="32"/>
      <c r="P11" s="32"/>
      <c r="Q11" s="32"/>
      <c r="R11" s="32"/>
      <c r="S11" s="32"/>
      <c r="T11" s="32"/>
      <c r="U11" s="32"/>
      <c r="V11" s="32"/>
      <c r="W11" s="32"/>
      <c r="X11" s="32"/>
      <c r="Y11" s="32"/>
      <c r="Z11" s="32"/>
      <c r="AA11" s="32"/>
    </row>
    <row r="12" spans="1:27" x14ac:dyDescent="0.25">
      <c r="A12" s="217"/>
      <c r="B12" s="54" t="s">
        <v>201</v>
      </c>
      <c r="C12" s="206" t="s">
        <v>25</v>
      </c>
      <c r="D12" s="207"/>
      <c r="E12" s="55" t="s">
        <v>22</v>
      </c>
      <c r="F12" s="102">
        <v>1</v>
      </c>
      <c r="G12" s="55" t="s">
        <v>40</v>
      </c>
      <c r="H12" s="55" t="s">
        <v>40</v>
      </c>
      <c r="I12" s="56">
        <v>200000</v>
      </c>
      <c r="J12" s="56">
        <f t="shared" si="0"/>
        <v>200000</v>
      </c>
      <c r="K12" s="31"/>
      <c r="L12" s="32"/>
      <c r="M12" s="32"/>
      <c r="N12" s="33"/>
      <c r="O12" s="32"/>
      <c r="P12" s="32"/>
      <c r="Q12" s="32"/>
      <c r="R12" s="32"/>
      <c r="S12" s="32"/>
      <c r="T12" s="32"/>
      <c r="U12" s="32"/>
      <c r="V12" s="32"/>
      <c r="W12" s="32"/>
      <c r="X12" s="32"/>
      <c r="Y12" s="32"/>
      <c r="Z12" s="32"/>
      <c r="AA12" s="32"/>
    </row>
    <row r="13" spans="1:27" x14ac:dyDescent="0.25">
      <c r="A13" s="217"/>
      <c r="B13" s="54" t="s">
        <v>202</v>
      </c>
      <c r="C13" s="205" t="s">
        <v>26</v>
      </c>
      <c r="D13" s="205"/>
      <c r="E13" s="205"/>
      <c r="F13" s="205"/>
      <c r="G13" s="205"/>
      <c r="H13" s="205"/>
      <c r="I13" s="205"/>
      <c r="J13" s="205"/>
      <c r="K13" s="31"/>
      <c r="L13" s="32"/>
      <c r="M13" s="32"/>
      <c r="N13" s="33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  <c r="AA13" s="32"/>
    </row>
    <row r="14" spans="1:27" x14ac:dyDescent="0.25">
      <c r="A14" s="217"/>
      <c r="B14" s="59"/>
      <c r="C14" s="58"/>
      <c r="D14" s="58" t="s">
        <v>27</v>
      </c>
      <c r="E14" s="55" t="s">
        <v>22</v>
      </c>
      <c r="F14" s="102">
        <v>1</v>
      </c>
      <c r="G14" s="55" t="s">
        <v>40</v>
      </c>
      <c r="H14" s="55" t="s">
        <v>40</v>
      </c>
      <c r="I14" s="56">
        <v>1000000</v>
      </c>
      <c r="J14" s="56">
        <f>F14*I14</f>
        <v>1000000</v>
      </c>
      <c r="K14" s="31"/>
      <c r="L14" s="32"/>
      <c r="M14" s="32"/>
      <c r="N14" s="33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</row>
    <row r="15" spans="1:27" x14ac:dyDescent="0.25">
      <c r="A15" s="217"/>
      <c r="B15" s="54" t="s">
        <v>203</v>
      </c>
      <c r="C15" s="205" t="s">
        <v>28</v>
      </c>
      <c r="D15" s="205"/>
      <c r="E15" s="205"/>
      <c r="F15" s="205"/>
      <c r="G15" s="205"/>
      <c r="H15" s="205"/>
      <c r="I15" s="205"/>
      <c r="J15" s="205"/>
      <c r="K15" s="31"/>
      <c r="L15" s="32"/>
      <c r="M15" s="32"/>
      <c r="N15" s="33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  <c r="AA15" s="32"/>
    </row>
    <row r="16" spans="1:27" x14ac:dyDescent="0.25">
      <c r="A16" s="217"/>
      <c r="B16" s="55"/>
      <c r="C16" s="104"/>
      <c r="D16" s="57" t="s">
        <v>242</v>
      </c>
      <c r="E16" s="55" t="s">
        <v>29</v>
      </c>
      <c r="F16" s="102">
        <v>1</v>
      </c>
      <c r="G16" s="55" t="s">
        <v>40</v>
      </c>
      <c r="H16" s="55" t="s">
        <v>40</v>
      </c>
      <c r="I16" s="56">
        <v>950000</v>
      </c>
      <c r="J16" s="56">
        <f t="shared" ref="J16" si="1">F16*I16</f>
        <v>950000</v>
      </c>
      <c r="K16" s="31"/>
      <c r="L16" s="32"/>
      <c r="M16" s="32"/>
      <c r="N16" s="33"/>
      <c r="O16" s="32"/>
      <c r="P16" s="32"/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</row>
    <row r="17" spans="1:27" x14ac:dyDescent="0.25">
      <c r="A17" s="217"/>
      <c r="B17" s="55"/>
      <c r="C17" s="104"/>
      <c r="D17" s="57" t="s">
        <v>243</v>
      </c>
      <c r="E17" s="55" t="s">
        <v>29</v>
      </c>
      <c r="F17" s="102">
        <v>1</v>
      </c>
      <c r="G17" s="55" t="s">
        <v>40</v>
      </c>
      <c r="H17" s="55" t="s">
        <v>40</v>
      </c>
      <c r="I17" s="56">
        <v>950000</v>
      </c>
      <c r="J17" s="56">
        <f t="shared" ref="J17" si="2">F17*I17</f>
        <v>950000</v>
      </c>
      <c r="K17" s="31"/>
      <c r="L17" s="32"/>
      <c r="M17" s="32"/>
      <c r="N17" s="33"/>
      <c r="O17" s="32"/>
      <c r="P17" s="32"/>
      <c r="Q17" s="32"/>
      <c r="R17" s="32"/>
      <c r="S17" s="32"/>
      <c r="T17" s="32"/>
      <c r="U17" s="32"/>
      <c r="V17" s="32"/>
      <c r="W17" s="32"/>
      <c r="X17" s="32"/>
      <c r="Y17" s="32"/>
      <c r="Z17" s="32"/>
      <c r="AA17" s="32"/>
    </row>
    <row r="18" spans="1:27" x14ac:dyDescent="0.25">
      <c r="A18" s="217"/>
      <c r="B18" s="55"/>
      <c r="C18" s="104"/>
      <c r="D18" s="57" t="s">
        <v>194</v>
      </c>
      <c r="E18" s="55" t="s">
        <v>22</v>
      </c>
      <c r="F18" s="102">
        <v>1</v>
      </c>
      <c r="G18" s="55" t="s">
        <v>40</v>
      </c>
      <c r="H18" s="55" t="s">
        <v>40</v>
      </c>
      <c r="I18" s="56">
        <v>1500000</v>
      </c>
      <c r="J18" s="56">
        <f t="shared" ref="J18" si="3">F18*I18</f>
        <v>1500000</v>
      </c>
      <c r="K18" s="31"/>
      <c r="L18" s="32"/>
      <c r="M18" s="32"/>
      <c r="N18" s="33"/>
      <c r="O18" s="32"/>
      <c r="P18" s="32"/>
      <c r="Q18" s="32"/>
      <c r="R18" s="32"/>
      <c r="S18" s="32"/>
      <c r="T18" s="32"/>
      <c r="U18" s="32"/>
      <c r="V18" s="32"/>
      <c r="W18" s="32"/>
      <c r="X18" s="32"/>
      <c r="Y18" s="32"/>
      <c r="Z18" s="32"/>
      <c r="AA18" s="32"/>
    </row>
    <row r="19" spans="1:27" x14ac:dyDescent="0.25">
      <c r="A19" s="217"/>
      <c r="B19" s="190"/>
      <c r="C19" s="190"/>
      <c r="D19" s="190"/>
      <c r="E19" s="190"/>
      <c r="F19" s="190"/>
      <c r="G19" s="190"/>
      <c r="H19" s="190"/>
      <c r="I19" s="60" t="s">
        <v>31</v>
      </c>
      <c r="J19" s="56">
        <f>SUM(J9:J18)</f>
        <v>9500000</v>
      </c>
      <c r="K19" s="31"/>
      <c r="L19" s="44"/>
      <c r="M19" s="44"/>
      <c r="N19" s="33"/>
      <c r="O19" s="33"/>
      <c r="P19" s="32"/>
      <c r="Q19" s="32"/>
      <c r="R19" s="32"/>
      <c r="S19" s="32"/>
      <c r="T19" s="32"/>
      <c r="U19" s="32"/>
      <c r="V19" s="32"/>
      <c r="W19" s="32"/>
      <c r="X19" s="32"/>
      <c r="Y19" s="32"/>
      <c r="Z19" s="32"/>
      <c r="AA19" s="32"/>
    </row>
    <row r="20" spans="1:27" x14ac:dyDescent="0.25">
      <c r="A20" s="218"/>
      <c r="B20" s="184"/>
      <c r="C20" s="184"/>
      <c r="D20" s="184"/>
      <c r="E20" s="184"/>
      <c r="F20" s="184"/>
      <c r="G20" s="184"/>
      <c r="H20" s="184"/>
      <c r="I20" s="184"/>
      <c r="J20" s="184"/>
      <c r="K20" s="31"/>
      <c r="L20" s="32"/>
      <c r="M20" s="32"/>
      <c r="N20" s="33"/>
      <c r="O20" s="33"/>
      <c r="P20" s="32"/>
      <c r="Q20" s="32"/>
      <c r="R20" s="32"/>
      <c r="S20" s="32"/>
      <c r="T20" s="32"/>
      <c r="U20" s="32"/>
      <c r="V20" s="32"/>
      <c r="W20" s="32"/>
      <c r="X20" s="32"/>
      <c r="Y20" s="32"/>
      <c r="Z20" s="32"/>
      <c r="AA20" s="32"/>
    </row>
    <row r="21" spans="1:27" x14ac:dyDescent="0.25">
      <c r="A21" s="53" t="s">
        <v>10</v>
      </c>
      <c r="B21" s="53" t="s">
        <v>11</v>
      </c>
      <c r="C21" s="29" t="s">
        <v>12</v>
      </c>
      <c r="D21" s="29" t="s">
        <v>13</v>
      </c>
      <c r="E21" s="53" t="s">
        <v>14</v>
      </c>
      <c r="F21" s="53" t="s">
        <v>15</v>
      </c>
      <c r="G21" s="53" t="s">
        <v>187</v>
      </c>
      <c r="H21" s="53" t="s">
        <v>186</v>
      </c>
      <c r="I21" s="53" t="s">
        <v>18</v>
      </c>
      <c r="J21" s="53" t="s">
        <v>19</v>
      </c>
      <c r="K21" s="31"/>
      <c r="L21" s="45"/>
      <c r="M21" s="45" t="s">
        <v>32</v>
      </c>
      <c r="N21" s="33"/>
      <c r="O21" s="32"/>
      <c r="P21" s="32"/>
      <c r="Q21" s="32"/>
      <c r="R21" s="32"/>
      <c r="S21" s="32"/>
      <c r="T21" s="32"/>
      <c r="U21" s="32"/>
      <c r="V21" s="32"/>
      <c r="W21" s="32"/>
      <c r="X21" s="32"/>
      <c r="Y21" s="32"/>
      <c r="Z21" s="32"/>
      <c r="AA21" s="32"/>
    </row>
    <row r="22" spans="1:27" x14ac:dyDescent="0.25">
      <c r="A22" s="203" t="s">
        <v>33</v>
      </c>
      <c r="B22" s="54" t="s">
        <v>204</v>
      </c>
      <c r="C22" s="191" t="s">
        <v>34</v>
      </c>
      <c r="D22" s="191"/>
      <c r="E22" s="191"/>
      <c r="F22" s="191"/>
      <c r="G22" s="191"/>
      <c r="H22" s="191"/>
      <c r="I22" s="191"/>
      <c r="J22" s="191"/>
      <c r="K22" s="31"/>
      <c r="L22" s="32"/>
      <c r="M22" s="32"/>
      <c r="N22" s="33"/>
      <c r="O22" s="32"/>
      <c r="P22" s="32"/>
      <c r="Q22" s="32"/>
      <c r="R22" s="32"/>
      <c r="S22" s="32"/>
      <c r="T22" s="32"/>
      <c r="U22" s="32"/>
      <c r="V22" s="32"/>
      <c r="W22" s="32"/>
      <c r="X22" s="32"/>
      <c r="Y22" s="32"/>
      <c r="Z22" s="32"/>
      <c r="AA22" s="32"/>
    </row>
    <row r="23" spans="1:27" x14ac:dyDescent="0.25">
      <c r="A23" s="184"/>
      <c r="B23" s="53"/>
      <c r="C23" s="29"/>
      <c r="D23" s="29" t="s">
        <v>35</v>
      </c>
      <c r="E23" s="23" t="s">
        <v>36</v>
      </c>
      <c r="F23" s="24">
        <v>13</v>
      </c>
      <c r="G23" s="23">
        <f>0.35*1*1</f>
        <v>0.35</v>
      </c>
      <c r="H23" s="23">
        <f>+G23*F23</f>
        <v>4.55</v>
      </c>
      <c r="I23" s="27">
        <v>300000</v>
      </c>
      <c r="J23" s="27">
        <f>I23*H23</f>
        <v>1365000</v>
      </c>
      <c r="K23" s="31"/>
      <c r="L23" s="33"/>
      <c r="M23" s="33"/>
      <c r="N23" s="33"/>
      <c r="O23" s="32"/>
      <c r="P23" s="32"/>
      <c r="Q23" s="32"/>
      <c r="R23" s="32"/>
      <c r="S23" s="32"/>
      <c r="T23" s="32"/>
      <c r="U23" s="32"/>
      <c r="V23" s="32"/>
      <c r="W23" s="32"/>
      <c r="X23" s="32"/>
      <c r="Y23" s="32"/>
      <c r="Z23" s="32"/>
      <c r="AA23" s="32"/>
    </row>
    <row r="24" spans="1:27" x14ac:dyDescent="0.25">
      <c r="A24" s="184"/>
      <c r="B24" s="61"/>
      <c r="C24" s="82"/>
      <c r="D24" s="62" t="s">
        <v>37</v>
      </c>
      <c r="E24" s="63" t="s">
        <v>38</v>
      </c>
      <c r="F24" s="64">
        <v>218</v>
      </c>
      <c r="G24" s="64" t="s">
        <v>40</v>
      </c>
      <c r="H24" s="64">
        <v>218</v>
      </c>
      <c r="I24" s="65">
        <v>4400</v>
      </c>
      <c r="J24" s="26">
        <f t="shared" ref="J24:J49" si="4">I24*H24</f>
        <v>959200</v>
      </c>
      <c r="K24" s="31"/>
      <c r="L24" s="32"/>
      <c r="M24" s="32"/>
      <c r="N24" s="33"/>
      <c r="O24" s="32"/>
      <c r="P24" s="32"/>
      <c r="Q24" s="32"/>
      <c r="R24" s="32"/>
      <c r="S24" s="32"/>
      <c r="T24" s="32"/>
      <c r="U24" s="32"/>
      <c r="V24" s="32"/>
      <c r="W24" s="32"/>
      <c r="X24" s="32"/>
      <c r="Y24" s="32"/>
      <c r="Z24" s="32"/>
      <c r="AA24" s="32"/>
    </row>
    <row r="25" spans="1:27" x14ac:dyDescent="0.25">
      <c r="A25" s="184"/>
      <c r="B25" s="54" t="s">
        <v>205</v>
      </c>
      <c r="C25" s="200" t="s">
        <v>39</v>
      </c>
      <c r="D25" s="200"/>
      <c r="E25" s="200"/>
      <c r="F25" s="200"/>
      <c r="G25" s="200"/>
      <c r="H25" s="200"/>
      <c r="I25" s="200"/>
      <c r="J25" s="200"/>
      <c r="K25" s="31"/>
      <c r="L25" s="33"/>
      <c r="M25" s="33"/>
      <c r="N25" s="33"/>
      <c r="O25" s="32"/>
      <c r="P25" s="32"/>
      <c r="Q25" s="32"/>
      <c r="R25" s="32"/>
      <c r="S25" s="32"/>
      <c r="T25" s="32"/>
      <c r="U25" s="32"/>
      <c r="V25" s="32"/>
      <c r="W25" s="32"/>
      <c r="X25" s="32"/>
      <c r="Y25" s="32"/>
      <c r="Z25" s="32"/>
      <c r="AA25" s="32"/>
    </row>
    <row r="26" spans="1:27" x14ac:dyDescent="0.25">
      <c r="A26" s="184"/>
      <c r="B26" s="66"/>
      <c r="C26" s="67"/>
      <c r="D26" s="67" t="s">
        <v>35</v>
      </c>
      <c r="E26" s="68" t="s">
        <v>36</v>
      </c>
      <c r="F26" s="68" t="s">
        <v>40</v>
      </c>
      <c r="G26" s="68" t="s">
        <v>40</v>
      </c>
      <c r="H26" s="68">
        <f>3.4+0.95</f>
        <v>4.3499999999999996</v>
      </c>
      <c r="I26" s="26">
        <v>300000</v>
      </c>
      <c r="J26" s="26">
        <f t="shared" si="4"/>
        <v>1305000</v>
      </c>
      <c r="K26" s="31"/>
      <c r="L26" s="33"/>
      <c r="M26" s="33"/>
      <c r="N26" s="33"/>
      <c r="O26" s="32"/>
      <c r="P26" s="32"/>
      <c r="Q26" s="32"/>
      <c r="R26" s="32"/>
      <c r="S26" s="32"/>
      <c r="T26" s="32"/>
      <c r="U26" s="32"/>
      <c r="V26" s="32"/>
      <c r="W26" s="32"/>
      <c r="X26" s="32"/>
      <c r="Y26" s="32"/>
      <c r="Z26" s="32"/>
      <c r="AA26" s="32"/>
    </row>
    <row r="27" spans="1:27" x14ac:dyDescent="0.25">
      <c r="A27" s="184"/>
      <c r="B27" s="61"/>
      <c r="C27" s="82"/>
      <c r="D27" s="62" t="s">
        <v>37</v>
      </c>
      <c r="E27" s="63" t="s">
        <v>38</v>
      </c>
      <c r="F27" s="64">
        <v>879</v>
      </c>
      <c r="G27" s="64" t="s">
        <v>40</v>
      </c>
      <c r="H27" s="64">
        <v>879</v>
      </c>
      <c r="I27" s="65">
        <v>4400</v>
      </c>
      <c r="J27" s="26">
        <f t="shared" si="4"/>
        <v>3867600</v>
      </c>
      <c r="K27" s="31"/>
      <c r="L27" s="33"/>
      <c r="M27" s="33"/>
      <c r="N27" s="33"/>
      <c r="O27" s="32"/>
      <c r="P27" s="32"/>
      <c r="Q27" s="32"/>
      <c r="R27" s="32"/>
      <c r="S27" s="32"/>
      <c r="T27" s="32"/>
      <c r="U27" s="32"/>
      <c r="V27" s="32"/>
      <c r="W27" s="32"/>
      <c r="X27" s="32"/>
      <c r="Y27" s="32"/>
      <c r="Z27" s="32"/>
      <c r="AA27" s="32"/>
    </row>
    <row r="28" spans="1:27" x14ac:dyDescent="0.25">
      <c r="A28" s="184"/>
      <c r="B28" s="54" t="s">
        <v>206</v>
      </c>
      <c r="C28" s="200" t="s">
        <v>41</v>
      </c>
      <c r="D28" s="200"/>
      <c r="E28" s="200"/>
      <c r="F28" s="200"/>
      <c r="G28" s="200"/>
      <c r="H28" s="200"/>
      <c r="I28" s="200"/>
      <c r="J28" s="200"/>
      <c r="K28" s="31"/>
      <c r="L28" s="32"/>
      <c r="M28" s="32"/>
      <c r="N28" s="33"/>
      <c r="O28" s="32"/>
      <c r="P28" s="32"/>
      <c r="Q28" s="32"/>
      <c r="R28" s="32"/>
      <c r="S28" s="32"/>
      <c r="T28" s="32"/>
      <c r="U28" s="32"/>
      <c r="V28" s="32"/>
      <c r="W28" s="32"/>
      <c r="X28" s="32"/>
      <c r="Y28" s="32"/>
      <c r="Z28" s="32"/>
      <c r="AA28" s="32"/>
    </row>
    <row r="29" spans="1:27" x14ac:dyDescent="0.25">
      <c r="A29" s="184"/>
      <c r="B29" s="66"/>
      <c r="C29" s="67"/>
      <c r="D29" s="67" t="s">
        <v>35</v>
      </c>
      <c r="E29" s="68" t="s">
        <v>36</v>
      </c>
      <c r="F29" s="69">
        <v>1</v>
      </c>
      <c r="G29" s="69">
        <f>69.25*0.1</f>
        <v>6.9250000000000007</v>
      </c>
      <c r="H29" s="69">
        <f>+G29*F29</f>
        <v>6.9250000000000007</v>
      </c>
      <c r="I29" s="26">
        <v>300000</v>
      </c>
      <c r="J29" s="26">
        <f t="shared" si="4"/>
        <v>2077500.0000000002</v>
      </c>
      <c r="K29" s="31"/>
      <c r="L29" s="32"/>
      <c r="M29" s="32"/>
      <c r="N29" s="33"/>
      <c r="O29" s="32"/>
      <c r="P29" s="32"/>
      <c r="Q29" s="32"/>
      <c r="R29" s="32"/>
      <c r="S29" s="32"/>
      <c r="T29" s="32"/>
      <c r="U29" s="32"/>
      <c r="V29" s="32"/>
      <c r="W29" s="32"/>
      <c r="X29" s="32"/>
      <c r="Y29" s="32"/>
      <c r="Z29" s="32"/>
      <c r="AA29" s="32"/>
    </row>
    <row r="30" spans="1:27" x14ac:dyDescent="0.25">
      <c r="A30" s="184"/>
      <c r="B30" s="61"/>
      <c r="C30" s="82"/>
      <c r="D30" s="62" t="s">
        <v>42</v>
      </c>
      <c r="E30" s="63" t="s">
        <v>43</v>
      </c>
      <c r="F30" s="64" t="s">
        <v>40</v>
      </c>
      <c r="G30" s="64" t="s">
        <v>40</v>
      </c>
      <c r="H30" s="64" t="s">
        <v>40</v>
      </c>
      <c r="I30" s="65">
        <v>1523000</v>
      </c>
      <c r="J30" s="26">
        <f>I30</f>
        <v>1523000</v>
      </c>
      <c r="K30" s="31"/>
      <c r="L30" s="32"/>
      <c r="M30" s="32"/>
      <c r="N30" s="33"/>
      <c r="O30" s="32"/>
      <c r="P30" s="32"/>
      <c r="Q30" s="32"/>
      <c r="R30" s="32"/>
      <c r="S30" s="32"/>
      <c r="T30" s="32"/>
      <c r="U30" s="32"/>
      <c r="V30" s="32"/>
      <c r="W30" s="32"/>
      <c r="X30" s="32"/>
      <c r="Y30" s="32"/>
      <c r="Z30" s="32"/>
      <c r="AA30" s="32"/>
    </row>
    <row r="31" spans="1:27" x14ac:dyDescent="0.25">
      <c r="A31" s="184"/>
      <c r="B31" s="54" t="s">
        <v>207</v>
      </c>
      <c r="C31" s="200" t="s">
        <v>188</v>
      </c>
      <c r="D31" s="200"/>
      <c r="E31" s="200"/>
      <c r="F31" s="200"/>
      <c r="G31" s="200"/>
      <c r="H31" s="200"/>
      <c r="I31" s="200"/>
      <c r="J31" s="200"/>
      <c r="K31" s="31"/>
      <c r="L31" s="32"/>
      <c r="M31" s="32"/>
      <c r="N31" s="33"/>
      <c r="O31" s="32"/>
      <c r="P31" s="32"/>
      <c r="Q31" s="32"/>
      <c r="R31" s="32"/>
      <c r="S31" s="32"/>
      <c r="T31" s="32"/>
      <c r="U31" s="32"/>
      <c r="V31" s="32"/>
      <c r="W31" s="32"/>
      <c r="X31" s="32"/>
      <c r="Y31" s="32"/>
      <c r="Z31" s="32"/>
      <c r="AA31" s="32"/>
    </row>
    <row r="32" spans="1:27" x14ac:dyDescent="0.25">
      <c r="A32" s="184"/>
      <c r="B32" s="66"/>
      <c r="C32" s="67"/>
      <c r="D32" s="67" t="s">
        <v>44</v>
      </c>
      <c r="E32" s="68" t="s">
        <v>36</v>
      </c>
      <c r="F32" s="69">
        <v>16</v>
      </c>
      <c r="G32" s="69">
        <f>4.9*0.25*0.25</f>
        <v>0.30625000000000002</v>
      </c>
      <c r="H32" s="69">
        <f>+G32*F32</f>
        <v>4.9000000000000004</v>
      </c>
      <c r="I32" s="26">
        <v>300000</v>
      </c>
      <c r="J32" s="26">
        <f t="shared" si="4"/>
        <v>1470000</v>
      </c>
      <c r="K32" s="31"/>
      <c r="L32" s="32"/>
      <c r="M32" s="32"/>
      <c r="N32" s="33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  <c r="AA32" s="32"/>
    </row>
    <row r="33" spans="1:27" x14ac:dyDescent="0.25">
      <c r="A33" s="184"/>
      <c r="B33" s="61"/>
      <c r="C33" s="82"/>
      <c r="D33" s="62" t="s">
        <v>37</v>
      </c>
      <c r="E33" s="63" t="s">
        <v>38</v>
      </c>
      <c r="F33" s="101">
        <v>445</v>
      </c>
      <c r="G33" s="63" t="s">
        <v>40</v>
      </c>
      <c r="H33" s="101">
        <v>445</v>
      </c>
      <c r="I33" s="65">
        <v>4400</v>
      </c>
      <c r="J33" s="26">
        <f t="shared" si="4"/>
        <v>1958000</v>
      </c>
      <c r="K33" s="31"/>
      <c r="L33" s="32"/>
      <c r="M33" s="32"/>
      <c r="N33" s="33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2"/>
      <c r="AA33" s="32"/>
    </row>
    <row r="34" spans="1:27" x14ac:dyDescent="0.25">
      <c r="A34" s="184"/>
      <c r="B34" s="61"/>
      <c r="C34" s="82"/>
      <c r="D34" s="62" t="s">
        <v>45</v>
      </c>
      <c r="E34" s="63" t="s">
        <v>29</v>
      </c>
      <c r="F34" s="63" t="s">
        <v>40</v>
      </c>
      <c r="G34" s="63" t="s">
        <v>40</v>
      </c>
      <c r="H34" s="63" t="s">
        <v>40</v>
      </c>
      <c r="I34" s="65">
        <v>1683500</v>
      </c>
      <c r="J34" s="26">
        <f>I34</f>
        <v>1683500</v>
      </c>
      <c r="K34" s="31"/>
      <c r="L34" s="32"/>
      <c r="M34" s="32"/>
      <c r="N34" s="33"/>
      <c r="O34" s="32"/>
      <c r="P34" s="32"/>
      <c r="Q34" s="32"/>
      <c r="R34" s="32"/>
      <c r="S34" s="32"/>
      <c r="T34" s="32"/>
      <c r="U34" s="32"/>
      <c r="V34" s="32"/>
      <c r="W34" s="32"/>
      <c r="X34" s="32"/>
      <c r="Y34" s="32"/>
      <c r="Z34" s="32"/>
      <c r="AA34" s="32"/>
    </row>
    <row r="35" spans="1:27" x14ac:dyDescent="0.25">
      <c r="A35" s="184"/>
      <c r="B35" s="54" t="s">
        <v>208</v>
      </c>
      <c r="C35" s="200" t="s">
        <v>46</v>
      </c>
      <c r="D35" s="200"/>
      <c r="E35" s="200"/>
      <c r="F35" s="200"/>
      <c r="G35" s="200"/>
      <c r="H35" s="200"/>
      <c r="I35" s="200"/>
      <c r="J35" s="200"/>
      <c r="K35" s="31"/>
      <c r="L35" s="32"/>
      <c r="M35" s="32"/>
      <c r="N35" s="33"/>
      <c r="O35" s="32"/>
      <c r="P35" s="32"/>
      <c r="Q35" s="32"/>
      <c r="R35" s="32"/>
      <c r="S35" s="32"/>
      <c r="T35" s="32"/>
      <c r="U35" s="32"/>
      <c r="V35" s="32"/>
      <c r="W35" s="32"/>
      <c r="X35" s="32"/>
      <c r="Y35" s="32"/>
      <c r="Z35" s="32"/>
      <c r="AA35" s="32"/>
    </row>
    <row r="36" spans="1:27" x14ac:dyDescent="0.25">
      <c r="A36" s="184"/>
      <c r="B36" s="66"/>
      <c r="C36" s="67"/>
      <c r="D36" s="67" t="s">
        <v>47</v>
      </c>
      <c r="E36" s="68" t="s">
        <v>36</v>
      </c>
      <c r="F36" s="68" t="s">
        <v>40</v>
      </c>
      <c r="G36" s="68" t="s">
        <v>40</v>
      </c>
      <c r="H36" s="68">
        <v>2.91</v>
      </c>
      <c r="I36" s="26">
        <v>300000</v>
      </c>
      <c r="J36" s="26">
        <f t="shared" si="4"/>
        <v>873000</v>
      </c>
      <c r="K36" s="31"/>
      <c r="L36" s="32"/>
      <c r="M36" s="32"/>
      <c r="N36" s="33"/>
      <c r="O36" s="32"/>
      <c r="P36" s="32"/>
      <c r="Q36" s="32"/>
      <c r="R36" s="32"/>
      <c r="S36" s="32"/>
      <c r="T36" s="32"/>
      <c r="U36" s="32"/>
      <c r="V36" s="32"/>
      <c r="W36" s="32"/>
      <c r="X36" s="32"/>
      <c r="Y36" s="32"/>
      <c r="Z36" s="32"/>
      <c r="AA36" s="32"/>
    </row>
    <row r="37" spans="1:27" x14ac:dyDescent="0.25">
      <c r="A37" s="184"/>
      <c r="B37" s="66"/>
      <c r="C37" s="67"/>
      <c r="D37" s="67" t="s">
        <v>48</v>
      </c>
      <c r="E37" s="68" t="s">
        <v>36</v>
      </c>
      <c r="F37" s="68" t="s">
        <v>40</v>
      </c>
      <c r="G37" s="68" t="s">
        <v>40</v>
      </c>
      <c r="H37" s="68">
        <v>1.42</v>
      </c>
      <c r="I37" s="26">
        <v>300000</v>
      </c>
      <c r="J37" s="26">
        <f t="shared" si="4"/>
        <v>426000</v>
      </c>
      <c r="K37" s="31"/>
      <c r="L37" s="32"/>
      <c r="M37" s="32"/>
      <c r="N37" s="33"/>
      <c r="O37" s="32"/>
      <c r="P37" s="32"/>
      <c r="Q37" s="32"/>
      <c r="R37" s="32"/>
      <c r="S37" s="32"/>
      <c r="T37" s="32"/>
      <c r="U37" s="32"/>
      <c r="V37" s="32"/>
      <c r="W37" s="32"/>
      <c r="X37" s="32"/>
      <c r="Y37" s="32"/>
      <c r="Z37" s="32"/>
      <c r="AA37" s="32"/>
    </row>
    <row r="38" spans="1:27" x14ac:dyDescent="0.25">
      <c r="A38" s="184"/>
      <c r="B38" s="61"/>
      <c r="C38" s="82"/>
      <c r="D38" s="62" t="s">
        <v>37</v>
      </c>
      <c r="E38" s="63" t="s">
        <v>38</v>
      </c>
      <c r="F38" s="101">
        <v>380</v>
      </c>
      <c r="G38" s="63" t="s">
        <v>40</v>
      </c>
      <c r="H38" s="101">
        <v>380</v>
      </c>
      <c r="I38" s="65">
        <v>4400</v>
      </c>
      <c r="J38" s="26">
        <f t="shared" si="4"/>
        <v>1672000</v>
      </c>
      <c r="K38" s="31"/>
      <c r="L38" s="32"/>
      <c r="M38" s="32"/>
      <c r="N38" s="33"/>
      <c r="O38" s="32"/>
      <c r="P38" s="32"/>
      <c r="Q38" s="32"/>
      <c r="R38" s="32"/>
      <c r="S38" s="32"/>
      <c r="T38" s="32"/>
      <c r="U38" s="32"/>
      <c r="V38" s="32"/>
      <c r="W38" s="32"/>
      <c r="X38" s="32"/>
      <c r="Y38" s="32"/>
      <c r="Z38" s="32"/>
      <c r="AA38" s="32"/>
    </row>
    <row r="39" spans="1:27" x14ac:dyDescent="0.25">
      <c r="A39" s="184"/>
      <c r="B39" s="61"/>
      <c r="C39" s="82"/>
      <c r="D39" s="62" t="s">
        <v>45</v>
      </c>
      <c r="E39" s="63" t="s">
        <v>29</v>
      </c>
      <c r="F39" s="63" t="s">
        <v>40</v>
      </c>
      <c r="G39" s="63" t="s">
        <v>40</v>
      </c>
      <c r="H39" s="63" t="s">
        <v>40</v>
      </c>
      <c r="I39" s="65">
        <v>1683500</v>
      </c>
      <c r="J39" s="26">
        <f>I39</f>
        <v>1683500</v>
      </c>
      <c r="K39" s="31"/>
      <c r="L39" s="32"/>
      <c r="M39" s="32"/>
      <c r="N39" s="33"/>
      <c r="O39" s="32"/>
      <c r="P39" s="32"/>
      <c r="Q39" s="32"/>
      <c r="R39" s="32"/>
      <c r="S39" s="32"/>
      <c r="T39" s="32"/>
      <c r="U39" s="32"/>
      <c r="V39" s="32"/>
      <c r="W39" s="32"/>
      <c r="X39" s="32"/>
      <c r="Y39" s="32"/>
      <c r="Z39" s="32"/>
      <c r="AA39" s="32"/>
    </row>
    <row r="40" spans="1:27" x14ac:dyDescent="0.25">
      <c r="A40" s="184"/>
      <c r="B40" s="54" t="s">
        <v>209</v>
      </c>
      <c r="C40" s="200" t="s">
        <v>49</v>
      </c>
      <c r="D40" s="200"/>
      <c r="E40" s="200"/>
      <c r="F40" s="200"/>
      <c r="G40" s="200"/>
      <c r="H40" s="200"/>
      <c r="I40" s="200"/>
      <c r="J40" s="200"/>
      <c r="K40" s="31"/>
      <c r="L40" s="32"/>
      <c r="M40" s="32"/>
      <c r="N40" s="33"/>
      <c r="O40" s="32"/>
      <c r="P40" s="32"/>
      <c r="Q40" s="32"/>
      <c r="R40" s="32"/>
      <c r="S40" s="32"/>
      <c r="T40" s="32"/>
      <c r="U40" s="32"/>
      <c r="V40" s="32"/>
      <c r="W40" s="32"/>
      <c r="X40" s="32"/>
      <c r="Y40" s="32"/>
      <c r="Z40" s="32"/>
      <c r="AA40" s="32"/>
    </row>
    <row r="41" spans="1:27" x14ac:dyDescent="0.25">
      <c r="A41" s="184"/>
      <c r="B41" s="66"/>
      <c r="C41" s="67"/>
      <c r="D41" s="67" t="s">
        <v>35</v>
      </c>
      <c r="E41" s="68" t="s">
        <v>36</v>
      </c>
      <c r="F41" s="69">
        <v>1</v>
      </c>
      <c r="G41" s="68">
        <v>3.49</v>
      </c>
      <c r="H41" s="69">
        <f>+G41*F41</f>
        <v>3.49</v>
      </c>
      <c r="I41" s="26">
        <v>300000</v>
      </c>
      <c r="J41" s="26">
        <f t="shared" si="4"/>
        <v>1047000.0000000001</v>
      </c>
      <c r="K41" s="31"/>
      <c r="L41" s="32"/>
      <c r="M41" s="32"/>
      <c r="N41" s="48"/>
      <c r="O41" s="32"/>
      <c r="P41" s="32"/>
      <c r="Q41" s="32"/>
      <c r="R41" s="32"/>
      <c r="S41" s="32"/>
      <c r="T41" s="32"/>
      <c r="U41" s="32"/>
      <c r="V41" s="32"/>
      <c r="W41" s="32"/>
      <c r="X41" s="32"/>
      <c r="Y41" s="32"/>
      <c r="Z41" s="32"/>
      <c r="AA41" s="32"/>
    </row>
    <row r="42" spans="1:27" x14ac:dyDescent="0.25">
      <c r="A42" s="184"/>
      <c r="B42" s="61"/>
      <c r="C42" s="82"/>
      <c r="D42" s="62" t="s">
        <v>42</v>
      </c>
      <c r="E42" s="63" t="s">
        <v>50</v>
      </c>
      <c r="F42" s="63" t="s">
        <v>40</v>
      </c>
      <c r="G42" s="63" t="s">
        <v>40</v>
      </c>
      <c r="H42" s="63" t="s">
        <v>40</v>
      </c>
      <c r="I42" s="65">
        <v>1523000</v>
      </c>
      <c r="J42" s="26">
        <f>I42</f>
        <v>1523000</v>
      </c>
      <c r="K42" s="31"/>
      <c r="L42" s="32"/>
      <c r="M42" s="32"/>
      <c r="N42" s="48"/>
      <c r="O42" s="32"/>
      <c r="P42" s="32"/>
      <c r="Q42" s="32"/>
      <c r="R42" s="32"/>
      <c r="S42" s="32"/>
      <c r="T42" s="32"/>
      <c r="U42" s="32"/>
      <c r="V42" s="32"/>
      <c r="W42" s="32"/>
      <c r="X42" s="32"/>
      <c r="Y42" s="32"/>
      <c r="Z42" s="32"/>
      <c r="AA42" s="32"/>
    </row>
    <row r="43" spans="1:27" x14ac:dyDescent="0.25">
      <c r="A43" s="184"/>
      <c r="B43" s="54" t="s">
        <v>210</v>
      </c>
      <c r="C43" s="200" t="s">
        <v>51</v>
      </c>
      <c r="D43" s="200"/>
      <c r="E43" s="200"/>
      <c r="F43" s="200"/>
      <c r="G43" s="200"/>
      <c r="H43" s="200"/>
      <c r="I43" s="200"/>
      <c r="J43" s="200"/>
      <c r="K43" s="31"/>
      <c r="L43" s="32"/>
      <c r="M43" s="32"/>
      <c r="N43" s="48"/>
      <c r="O43" s="32"/>
      <c r="P43" s="32"/>
      <c r="Q43" s="32"/>
      <c r="R43" s="32"/>
      <c r="S43" s="32"/>
      <c r="T43" s="32"/>
      <c r="U43" s="32"/>
      <c r="V43" s="32"/>
      <c r="W43" s="32"/>
      <c r="X43" s="32"/>
      <c r="Y43" s="32"/>
      <c r="Z43" s="32"/>
      <c r="AA43" s="32"/>
    </row>
    <row r="44" spans="1:27" x14ac:dyDescent="0.25">
      <c r="A44" s="184"/>
      <c r="B44" s="66"/>
      <c r="C44" s="67"/>
      <c r="D44" s="67" t="s">
        <v>35</v>
      </c>
      <c r="E44" s="68" t="s">
        <v>36</v>
      </c>
      <c r="F44" s="69">
        <v>1</v>
      </c>
      <c r="G44" s="68" t="s">
        <v>40</v>
      </c>
      <c r="H44" s="68">
        <v>0.92</v>
      </c>
      <c r="I44" s="26">
        <v>300000</v>
      </c>
      <c r="J44" s="26">
        <f t="shared" si="4"/>
        <v>276000</v>
      </c>
      <c r="K44" s="31"/>
      <c r="L44" s="32"/>
      <c r="M44" s="32"/>
      <c r="N44" s="33"/>
      <c r="O44" s="32"/>
      <c r="P44" s="32"/>
      <c r="Q44" s="32"/>
      <c r="R44" s="32"/>
      <c r="S44" s="32"/>
      <c r="T44" s="32"/>
      <c r="U44" s="32"/>
      <c r="V44" s="32"/>
      <c r="W44" s="32"/>
      <c r="X44" s="32"/>
      <c r="Y44" s="32"/>
      <c r="Z44" s="32"/>
      <c r="AA44" s="32"/>
    </row>
    <row r="45" spans="1:27" x14ac:dyDescent="0.25">
      <c r="A45" s="184"/>
      <c r="B45" s="66"/>
      <c r="C45" s="67"/>
      <c r="D45" s="62" t="s">
        <v>37</v>
      </c>
      <c r="E45" s="63" t="s">
        <v>38</v>
      </c>
      <c r="F45" s="64">
        <v>100</v>
      </c>
      <c r="G45" s="64" t="s">
        <v>40</v>
      </c>
      <c r="H45" s="64">
        <v>100</v>
      </c>
      <c r="I45" s="65">
        <v>4400</v>
      </c>
      <c r="J45" s="26">
        <f t="shared" ref="J45" si="5">I45*H45</f>
        <v>440000</v>
      </c>
      <c r="K45" s="31"/>
      <c r="L45" s="32"/>
      <c r="M45" s="32"/>
      <c r="N45" s="33"/>
      <c r="O45" s="32"/>
      <c r="P45" s="32"/>
      <c r="Q45" s="32"/>
      <c r="R45" s="32"/>
      <c r="S45" s="32"/>
      <c r="T45" s="32"/>
      <c r="U45" s="32"/>
      <c r="V45" s="32"/>
      <c r="W45" s="32"/>
      <c r="X45" s="32"/>
      <c r="Y45" s="32"/>
      <c r="Z45" s="32"/>
      <c r="AA45" s="32"/>
    </row>
    <row r="46" spans="1:27" x14ac:dyDescent="0.25">
      <c r="A46" s="184"/>
      <c r="B46" s="61"/>
      <c r="C46" s="82"/>
      <c r="D46" s="62" t="s">
        <v>45</v>
      </c>
      <c r="E46" s="63" t="s">
        <v>29</v>
      </c>
      <c r="F46" s="63" t="s">
        <v>40</v>
      </c>
      <c r="G46" s="63" t="s">
        <v>40</v>
      </c>
      <c r="H46" s="63" t="s">
        <v>40</v>
      </c>
      <c r="I46" s="65">
        <v>1683500</v>
      </c>
      <c r="J46" s="26">
        <f>I46</f>
        <v>1683500</v>
      </c>
      <c r="K46" s="31"/>
      <c r="L46" s="32"/>
      <c r="M46" s="32"/>
      <c r="N46" s="33"/>
      <c r="O46" s="32"/>
      <c r="P46" s="32"/>
      <c r="Q46" s="32"/>
      <c r="R46" s="32"/>
      <c r="S46" s="32"/>
      <c r="T46" s="32"/>
      <c r="U46" s="32"/>
      <c r="V46" s="32"/>
      <c r="W46" s="32"/>
      <c r="X46" s="32"/>
      <c r="Y46" s="32"/>
      <c r="Z46" s="32"/>
      <c r="AA46" s="32"/>
    </row>
    <row r="47" spans="1:27" x14ac:dyDescent="0.25">
      <c r="A47" s="184"/>
      <c r="B47" s="54" t="s">
        <v>211</v>
      </c>
      <c r="C47" s="200" t="s">
        <v>52</v>
      </c>
      <c r="D47" s="200"/>
      <c r="E47" s="200"/>
      <c r="F47" s="200"/>
      <c r="G47" s="200"/>
      <c r="H47" s="200"/>
      <c r="I47" s="200"/>
      <c r="J47" s="200"/>
      <c r="K47" s="31"/>
      <c r="L47" s="32"/>
      <c r="M47" s="32"/>
      <c r="N47" s="33"/>
      <c r="O47" s="32"/>
      <c r="P47" s="32"/>
      <c r="Q47" s="32"/>
      <c r="R47" s="32"/>
      <c r="S47" s="32"/>
      <c r="T47" s="32"/>
      <c r="U47" s="32"/>
      <c r="V47" s="32"/>
      <c r="W47" s="32"/>
      <c r="X47" s="32"/>
      <c r="Y47" s="32"/>
      <c r="Z47" s="32"/>
      <c r="AA47" s="32"/>
    </row>
    <row r="48" spans="1:27" x14ac:dyDescent="0.25">
      <c r="A48" s="184"/>
      <c r="B48" s="68"/>
      <c r="C48" s="105"/>
      <c r="D48" s="67" t="s">
        <v>35</v>
      </c>
      <c r="E48" s="68" t="s">
        <v>36</v>
      </c>
      <c r="F48" s="69">
        <v>1</v>
      </c>
      <c r="G48" s="68" t="s">
        <v>40</v>
      </c>
      <c r="H48" s="68">
        <v>1.66</v>
      </c>
      <c r="I48" s="26">
        <v>300000</v>
      </c>
      <c r="J48" s="26">
        <f t="shared" si="4"/>
        <v>498000</v>
      </c>
      <c r="K48" s="31"/>
      <c r="L48" s="32"/>
      <c r="M48" s="32"/>
      <c r="N48" s="33"/>
      <c r="O48" s="32"/>
      <c r="P48" s="32"/>
      <c r="Q48" s="32"/>
      <c r="R48" s="32"/>
      <c r="S48" s="32"/>
      <c r="T48" s="32"/>
      <c r="U48" s="32"/>
      <c r="V48" s="32"/>
      <c r="W48" s="32"/>
      <c r="X48" s="32"/>
      <c r="Y48" s="32"/>
      <c r="Z48" s="32"/>
      <c r="AA48" s="32"/>
    </row>
    <row r="49" spans="1:27" x14ac:dyDescent="0.25">
      <c r="A49" s="184"/>
      <c r="B49" s="63"/>
      <c r="C49" s="106"/>
      <c r="D49" s="62" t="s">
        <v>37</v>
      </c>
      <c r="E49" s="63" t="s">
        <v>38</v>
      </c>
      <c r="F49" s="63">
        <v>380</v>
      </c>
      <c r="G49" s="63"/>
      <c r="H49" s="63">
        <v>380</v>
      </c>
      <c r="I49" s="65">
        <v>4400</v>
      </c>
      <c r="J49" s="26">
        <f t="shared" si="4"/>
        <v>1672000</v>
      </c>
      <c r="K49" s="31"/>
      <c r="L49" s="32"/>
      <c r="M49" s="32"/>
      <c r="N49" s="33"/>
      <c r="O49" s="32"/>
      <c r="P49" s="32"/>
      <c r="Q49" s="32"/>
      <c r="R49" s="32"/>
      <c r="S49" s="32"/>
      <c r="T49" s="32"/>
      <c r="U49" s="32"/>
      <c r="V49" s="32"/>
      <c r="W49" s="32"/>
      <c r="X49" s="32"/>
      <c r="Y49" s="32"/>
      <c r="Z49" s="32"/>
      <c r="AA49" s="32"/>
    </row>
    <row r="50" spans="1:27" x14ac:dyDescent="0.25">
      <c r="A50" s="184"/>
      <c r="B50" s="63"/>
      <c r="C50" s="106"/>
      <c r="D50" s="62" t="s">
        <v>45</v>
      </c>
      <c r="E50" s="63" t="s">
        <v>29</v>
      </c>
      <c r="F50" s="63" t="s">
        <v>40</v>
      </c>
      <c r="G50" s="63" t="s">
        <v>40</v>
      </c>
      <c r="H50" s="63" t="s">
        <v>40</v>
      </c>
      <c r="I50" s="65">
        <v>1683500</v>
      </c>
      <c r="J50" s="26">
        <f>I50</f>
        <v>1683500</v>
      </c>
      <c r="K50" s="31"/>
      <c r="L50" s="32"/>
      <c r="M50" s="32"/>
      <c r="N50" s="33"/>
      <c r="O50" s="32"/>
      <c r="P50" s="32"/>
      <c r="Q50" s="32"/>
      <c r="R50" s="32"/>
      <c r="S50" s="32"/>
      <c r="T50" s="32"/>
      <c r="U50" s="32"/>
      <c r="V50" s="32"/>
      <c r="W50" s="32"/>
      <c r="X50" s="32"/>
      <c r="Y50" s="32"/>
      <c r="Z50" s="32"/>
      <c r="AA50" s="32"/>
    </row>
    <row r="51" spans="1:27" x14ac:dyDescent="0.25">
      <c r="A51" s="184"/>
      <c r="B51" s="190"/>
      <c r="C51" s="190"/>
      <c r="D51" s="190"/>
      <c r="E51" s="190"/>
      <c r="F51" s="190"/>
      <c r="G51" s="190"/>
      <c r="H51" s="190"/>
      <c r="I51" s="70" t="s">
        <v>31</v>
      </c>
      <c r="J51" s="65">
        <f>SUM(J23:J50)</f>
        <v>29686300</v>
      </c>
      <c r="K51" s="31"/>
      <c r="L51" s="32"/>
      <c r="M51" s="32"/>
      <c r="N51" s="33"/>
      <c r="O51" s="32"/>
      <c r="P51" s="32"/>
      <c r="Q51" s="32"/>
      <c r="R51" s="32"/>
      <c r="S51" s="32"/>
      <c r="T51" s="32"/>
      <c r="U51" s="32"/>
      <c r="V51" s="32"/>
      <c r="W51" s="32"/>
      <c r="X51" s="32"/>
      <c r="Y51" s="32"/>
      <c r="Z51" s="32"/>
      <c r="AA51" s="32"/>
    </row>
    <row r="52" spans="1:27" x14ac:dyDescent="0.25">
      <c r="A52" s="188"/>
      <c r="B52" s="184"/>
      <c r="C52" s="184"/>
      <c r="D52" s="184"/>
      <c r="E52" s="184"/>
      <c r="F52" s="184"/>
      <c r="G52" s="184"/>
      <c r="H52" s="184"/>
      <c r="I52" s="184"/>
      <c r="J52" s="184"/>
      <c r="K52" s="31"/>
      <c r="L52" s="32"/>
      <c r="M52" s="32"/>
      <c r="N52" s="33"/>
      <c r="O52" s="32"/>
      <c r="P52" s="32"/>
      <c r="Q52" s="32"/>
      <c r="R52" s="32"/>
      <c r="S52" s="32"/>
      <c r="T52" s="32"/>
      <c r="U52" s="32"/>
      <c r="V52" s="32"/>
      <c r="W52" s="32"/>
      <c r="X52" s="32"/>
      <c r="Y52" s="32"/>
      <c r="Z52" s="32"/>
      <c r="AA52" s="32"/>
    </row>
    <row r="53" spans="1:27" x14ac:dyDescent="0.25">
      <c r="A53" s="53" t="s">
        <v>10</v>
      </c>
      <c r="B53" s="53" t="s">
        <v>11</v>
      </c>
      <c r="C53" s="29" t="s">
        <v>12</v>
      </c>
      <c r="D53" s="29" t="s">
        <v>13</v>
      </c>
      <c r="E53" s="53" t="s">
        <v>14</v>
      </c>
      <c r="F53" s="53" t="s">
        <v>15</v>
      </c>
      <c r="G53" s="53" t="s">
        <v>185</v>
      </c>
      <c r="H53" s="53" t="s">
        <v>185</v>
      </c>
      <c r="I53" s="53" t="s">
        <v>18</v>
      </c>
      <c r="J53" s="53" t="s">
        <v>19</v>
      </c>
      <c r="K53" s="31"/>
      <c r="L53" s="32"/>
      <c r="M53" s="32"/>
      <c r="N53" s="33"/>
      <c r="O53" s="32"/>
      <c r="P53" s="32"/>
      <c r="Q53" s="32"/>
      <c r="R53" s="32"/>
      <c r="S53" s="32"/>
      <c r="T53" s="32"/>
      <c r="U53" s="32"/>
      <c r="V53" s="32"/>
      <c r="W53" s="32"/>
      <c r="X53" s="32"/>
      <c r="Y53" s="32"/>
      <c r="Z53" s="32"/>
      <c r="AA53" s="32"/>
    </row>
    <row r="54" spans="1:27" x14ac:dyDescent="0.25">
      <c r="A54" s="196" t="s">
        <v>53</v>
      </c>
      <c r="B54" s="54" t="s">
        <v>212</v>
      </c>
      <c r="C54" s="192" t="s">
        <v>54</v>
      </c>
      <c r="D54" s="192"/>
      <c r="E54" s="192"/>
      <c r="F54" s="192"/>
      <c r="G54" s="192"/>
      <c r="H54" s="192"/>
      <c r="I54" s="192"/>
      <c r="J54" s="192"/>
      <c r="K54" s="31"/>
      <c r="L54" s="32"/>
      <c r="M54" s="32"/>
      <c r="N54" s="33"/>
      <c r="O54" s="32"/>
      <c r="P54" s="32"/>
      <c r="Q54" s="32"/>
      <c r="R54" s="32"/>
      <c r="S54" s="32"/>
      <c r="T54" s="32"/>
      <c r="U54" s="32"/>
      <c r="V54" s="32"/>
      <c r="W54" s="32"/>
      <c r="X54" s="32"/>
      <c r="Y54" s="32"/>
      <c r="Z54" s="32"/>
      <c r="AA54" s="32"/>
    </row>
    <row r="55" spans="1:27" x14ac:dyDescent="0.25">
      <c r="A55" s="184"/>
      <c r="B55" s="71"/>
      <c r="C55" s="73"/>
      <c r="D55" s="73" t="s">
        <v>55</v>
      </c>
      <c r="E55" s="74" t="s">
        <v>56</v>
      </c>
      <c r="F55" s="75">
        <v>16</v>
      </c>
      <c r="G55" s="75" t="s">
        <v>40</v>
      </c>
      <c r="H55" s="75" t="s">
        <v>40</v>
      </c>
      <c r="I55" s="76">
        <v>28000</v>
      </c>
      <c r="J55" s="76">
        <f t="shared" ref="J55:J62" si="6">I55*F55</f>
        <v>448000</v>
      </c>
      <c r="K55" s="31">
        <v>27900</v>
      </c>
      <c r="L55" s="32"/>
      <c r="M55" s="32"/>
      <c r="N55" s="33"/>
      <c r="O55" s="32"/>
      <c r="P55" s="32"/>
      <c r="Q55" s="32"/>
      <c r="R55" s="32"/>
      <c r="S55" s="32"/>
      <c r="T55" s="32"/>
      <c r="U55" s="32"/>
      <c r="V55" s="32"/>
      <c r="W55" s="32"/>
      <c r="X55" s="32"/>
      <c r="Y55" s="32"/>
      <c r="Z55" s="32"/>
      <c r="AA55" s="32"/>
    </row>
    <row r="56" spans="1:27" x14ac:dyDescent="0.25">
      <c r="A56" s="184"/>
      <c r="B56" s="74"/>
      <c r="C56" s="107"/>
      <c r="D56" s="73" t="s">
        <v>57</v>
      </c>
      <c r="E56" s="74" t="s">
        <v>56</v>
      </c>
      <c r="F56" s="75">
        <v>16</v>
      </c>
      <c r="G56" s="75" t="s">
        <v>40</v>
      </c>
      <c r="H56" s="75" t="s">
        <v>40</v>
      </c>
      <c r="I56" s="76">
        <v>33000</v>
      </c>
      <c r="J56" s="76">
        <f t="shared" si="6"/>
        <v>528000</v>
      </c>
      <c r="K56" s="31">
        <v>32900</v>
      </c>
      <c r="L56" s="32"/>
      <c r="M56" s="32"/>
      <c r="N56" s="33"/>
      <c r="O56" s="32"/>
      <c r="P56" s="32"/>
      <c r="Q56" s="32"/>
      <c r="R56" s="32"/>
      <c r="S56" s="32"/>
      <c r="T56" s="32"/>
      <c r="U56" s="32"/>
      <c r="V56" s="32"/>
      <c r="W56" s="32"/>
      <c r="X56" s="32"/>
      <c r="Y56" s="32"/>
      <c r="Z56" s="32"/>
      <c r="AA56" s="32"/>
    </row>
    <row r="57" spans="1:27" x14ac:dyDescent="0.25">
      <c r="A57" s="184"/>
      <c r="B57" s="74"/>
      <c r="C57" s="107"/>
      <c r="D57" s="73" t="s">
        <v>58</v>
      </c>
      <c r="E57" s="74" t="s">
        <v>56</v>
      </c>
      <c r="F57" s="75">
        <v>10</v>
      </c>
      <c r="G57" s="75" t="s">
        <v>40</v>
      </c>
      <c r="H57" s="75" t="s">
        <v>40</v>
      </c>
      <c r="I57" s="76">
        <v>42000</v>
      </c>
      <c r="J57" s="76">
        <f t="shared" si="6"/>
        <v>420000</v>
      </c>
      <c r="K57" s="31">
        <v>41990</v>
      </c>
      <c r="L57" s="32"/>
      <c r="M57" s="32"/>
      <c r="N57" s="33"/>
      <c r="O57" s="32"/>
      <c r="P57" s="32"/>
      <c r="Q57" s="32"/>
      <c r="R57" s="32"/>
      <c r="S57" s="32"/>
      <c r="T57" s="32"/>
      <c r="U57" s="32"/>
      <c r="V57" s="32"/>
      <c r="W57" s="32"/>
      <c r="X57" s="32"/>
      <c r="Y57" s="32"/>
      <c r="Z57" s="32"/>
      <c r="AA57" s="32"/>
    </row>
    <row r="58" spans="1:27" x14ac:dyDescent="0.25">
      <c r="A58" s="184"/>
      <c r="B58" s="74"/>
      <c r="C58" s="107"/>
      <c r="D58" s="73" t="s">
        <v>59</v>
      </c>
      <c r="E58" s="74" t="s">
        <v>56</v>
      </c>
      <c r="F58" s="75">
        <v>3</v>
      </c>
      <c r="G58" s="75" t="s">
        <v>40</v>
      </c>
      <c r="H58" s="75" t="s">
        <v>40</v>
      </c>
      <c r="I58" s="76">
        <v>54000</v>
      </c>
      <c r="J58" s="76">
        <f t="shared" si="6"/>
        <v>162000</v>
      </c>
      <c r="K58" s="31">
        <v>53900</v>
      </c>
      <c r="L58" s="32"/>
      <c r="M58" s="32"/>
      <c r="N58" s="33"/>
      <c r="O58" s="32"/>
      <c r="P58" s="32"/>
      <c r="Q58" s="32"/>
      <c r="R58" s="32"/>
      <c r="S58" s="32"/>
      <c r="T58" s="32"/>
      <c r="U58" s="32"/>
      <c r="V58" s="32"/>
      <c r="W58" s="32"/>
      <c r="X58" s="32"/>
      <c r="Y58" s="32"/>
      <c r="Z58" s="32"/>
      <c r="AA58" s="32"/>
    </row>
    <row r="59" spans="1:27" x14ac:dyDescent="0.25">
      <c r="A59" s="184"/>
      <c r="B59" s="74"/>
      <c r="C59" s="107"/>
      <c r="D59" s="77" t="s">
        <v>60</v>
      </c>
      <c r="E59" s="74" t="s">
        <v>56</v>
      </c>
      <c r="F59" s="75">
        <v>7</v>
      </c>
      <c r="G59" s="75" t="s">
        <v>40</v>
      </c>
      <c r="H59" s="75" t="s">
        <v>40</v>
      </c>
      <c r="I59" s="76">
        <v>173000</v>
      </c>
      <c r="J59" s="76">
        <f t="shared" si="6"/>
        <v>1211000</v>
      </c>
      <c r="K59" s="31">
        <v>172900</v>
      </c>
      <c r="L59" s="32"/>
      <c r="M59" s="32"/>
      <c r="N59" s="33"/>
      <c r="O59" s="32"/>
      <c r="P59" s="32"/>
      <c r="Q59" s="32"/>
      <c r="R59" s="32"/>
      <c r="S59" s="32"/>
      <c r="T59" s="32"/>
      <c r="U59" s="32"/>
      <c r="V59" s="32"/>
      <c r="W59" s="32"/>
      <c r="X59" s="32"/>
      <c r="Y59" s="32"/>
      <c r="Z59" s="32"/>
      <c r="AA59" s="32"/>
    </row>
    <row r="60" spans="1:27" x14ac:dyDescent="0.25">
      <c r="A60" s="184"/>
      <c r="B60" s="74"/>
      <c r="C60" s="107"/>
      <c r="D60" s="77" t="s">
        <v>61</v>
      </c>
      <c r="E60" s="74" t="s">
        <v>22</v>
      </c>
      <c r="F60" s="75">
        <v>1</v>
      </c>
      <c r="G60" s="75" t="s">
        <v>40</v>
      </c>
      <c r="H60" s="75" t="s">
        <v>40</v>
      </c>
      <c r="I60" s="76">
        <v>70000</v>
      </c>
      <c r="J60" s="76">
        <f t="shared" si="6"/>
        <v>70000</v>
      </c>
      <c r="K60" s="31">
        <v>68900</v>
      </c>
      <c r="M60" s="32"/>
      <c r="N60" s="33"/>
      <c r="O60" s="32"/>
      <c r="P60" s="32"/>
      <c r="Q60" s="32"/>
      <c r="R60" s="32"/>
      <c r="S60" s="32"/>
      <c r="T60" s="32"/>
      <c r="U60" s="32"/>
      <c r="V60" s="32"/>
      <c r="W60" s="32"/>
      <c r="X60" s="32"/>
      <c r="Y60" s="32"/>
      <c r="Z60" s="32"/>
      <c r="AA60" s="32"/>
    </row>
    <row r="61" spans="1:27" x14ac:dyDescent="0.25">
      <c r="A61" s="184"/>
      <c r="B61" s="74"/>
      <c r="C61" s="107"/>
      <c r="D61" s="77" t="s">
        <v>62</v>
      </c>
      <c r="E61" s="74" t="s">
        <v>56</v>
      </c>
      <c r="F61" s="75">
        <v>15</v>
      </c>
      <c r="G61" s="75" t="s">
        <v>40</v>
      </c>
      <c r="H61" s="75" t="s">
        <v>40</v>
      </c>
      <c r="I61" s="76">
        <v>40000</v>
      </c>
      <c r="J61" s="76">
        <f t="shared" si="6"/>
        <v>600000</v>
      </c>
      <c r="K61" s="31">
        <v>40000</v>
      </c>
      <c r="L61" s="32"/>
      <c r="M61" s="32"/>
      <c r="N61" s="33"/>
      <c r="O61" s="32"/>
      <c r="P61" s="32"/>
      <c r="Q61" s="32"/>
      <c r="R61" s="32"/>
      <c r="S61" s="32"/>
      <c r="T61" s="32"/>
      <c r="U61" s="32"/>
      <c r="V61" s="32"/>
      <c r="W61" s="32"/>
      <c r="X61" s="32"/>
      <c r="Y61" s="32"/>
      <c r="Z61" s="32"/>
      <c r="AA61" s="32"/>
    </row>
    <row r="62" spans="1:27" x14ac:dyDescent="0.25">
      <c r="A62" s="184"/>
      <c r="B62" s="78"/>
      <c r="C62" s="108"/>
      <c r="D62" s="72" t="s">
        <v>63</v>
      </c>
      <c r="E62" s="74" t="s">
        <v>64</v>
      </c>
      <c r="F62" s="75">
        <v>12</v>
      </c>
      <c r="G62" s="75" t="s">
        <v>40</v>
      </c>
      <c r="H62" s="75" t="s">
        <v>40</v>
      </c>
      <c r="I62" s="76">
        <v>260000</v>
      </c>
      <c r="J62" s="76">
        <f t="shared" si="6"/>
        <v>3120000</v>
      </c>
      <c r="K62" s="31">
        <v>761900</v>
      </c>
      <c r="L62" s="32">
        <f>1.52*2.49 + 1.72*1.52 + 3.57*1.32</f>
        <v>11.111599999999999</v>
      </c>
      <c r="M62" s="32"/>
      <c r="N62" s="33"/>
      <c r="O62" s="32"/>
      <c r="P62" s="32"/>
      <c r="Q62" s="32"/>
      <c r="R62" s="32"/>
      <c r="S62" s="32"/>
      <c r="T62" s="32"/>
      <c r="U62" s="32"/>
      <c r="V62" s="32"/>
      <c r="W62" s="32"/>
      <c r="X62" s="32"/>
      <c r="Y62" s="32"/>
      <c r="Z62" s="32"/>
      <c r="AA62" s="32"/>
    </row>
    <row r="63" spans="1:27" x14ac:dyDescent="0.25">
      <c r="A63" s="184"/>
      <c r="B63" s="190"/>
      <c r="C63" s="190"/>
      <c r="D63" s="190"/>
      <c r="E63" s="190"/>
      <c r="F63" s="190"/>
      <c r="G63" s="190"/>
      <c r="H63" s="190"/>
      <c r="I63" s="79" t="s">
        <v>31</v>
      </c>
      <c r="J63" s="76">
        <f>SUM(J55:J62)</f>
        <v>6559000</v>
      </c>
      <c r="K63" s="31"/>
      <c r="L63" s="32"/>
      <c r="M63" s="32"/>
      <c r="N63" s="33"/>
      <c r="O63" s="32"/>
      <c r="P63" s="32"/>
      <c r="Q63" s="32"/>
      <c r="R63" s="32"/>
      <c r="S63" s="32"/>
      <c r="T63" s="32"/>
      <c r="U63" s="32"/>
      <c r="V63" s="32"/>
      <c r="W63" s="32"/>
      <c r="X63" s="32"/>
      <c r="Y63" s="32"/>
      <c r="Z63" s="32"/>
      <c r="AA63" s="32"/>
    </row>
    <row r="64" spans="1:27" x14ac:dyDescent="0.25">
      <c r="A64" s="188" t="s">
        <v>65</v>
      </c>
      <c r="B64" s="184"/>
      <c r="C64" s="184"/>
      <c r="D64" s="184"/>
      <c r="E64" s="184"/>
      <c r="F64" s="184"/>
      <c r="G64" s="184"/>
      <c r="H64" s="184"/>
      <c r="I64" s="184"/>
      <c r="J64" s="184"/>
      <c r="K64" s="31"/>
      <c r="L64" s="32"/>
      <c r="M64" s="32"/>
      <c r="N64" s="33"/>
      <c r="O64" s="32"/>
      <c r="P64" s="32"/>
      <c r="Q64" s="32"/>
      <c r="R64" s="32"/>
      <c r="S64" s="32"/>
      <c r="T64" s="32"/>
      <c r="U64" s="32"/>
      <c r="V64" s="32"/>
      <c r="W64" s="32"/>
      <c r="X64" s="32"/>
      <c r="Y64" s="32"/>
      <c r="Z64" s="32"/>
      <c r="AA64" s="32"/>
    </row>
    <row r="65" spans="1:27" x14ac:dyDescent="0.25">
      <c r="A65" s="53" t="s">
        <v>10</v>
      </c>
      <c r="B65" s="53" t="s">
        <v>11</v>
      </c>
      <c r="C65" s="29" t="s">
        <v>12</v>
      </c>
      <c r="D65" s="29" t="s">
        <v>13</v>
      </c>
      <c r="E65" s="53" t="s">
        <v>14</v>
      </c>
      <c r="F65" s="53" t="s">
        <v>15</v>
      </c>
      <c r="G65" s="53" t="s">
        <v>16</v>
      </c>
      <c r="H65" s="53" t="s">
        <v>66</v>
      </c>
      <c r="I65" s="53" t="s">
        <v>18</v>
      </c>
      <c r="J65" s="53" t="s">
        <v>19</v>
      </c>
      <c r="K65" s="31"/>
      <c r="L65" s="45"/>
      <c r="M65" s="45" t="s">
        <v>67</v>
      </c>
      <c r="N65" s="33"/>
      <c r="O65" s="32"/>
      <c r="P65" s="32"/>
      <c r="Q65" s="32"/>
      <c r="R65" s="32"/>
      <c r="S65" s="32"/>
      <c r="T65" s="32"/>
      <c r="U65" s="32"/>
      <c r="V65" s="32"/>
      <c r="W65" s="32"/>
      <c r="X65" s="32"/>
      <c r="Y65" s="32"/>
      <c r="Z65" s="32"/>
      <c r="AA65" s="32"/>
    </row>
    <row r="66" spans="1:27" x14ac:dyDescent="0.25">
      <c r="A66" s="196" t="s">
        <v>233</v>
      </c>
      <c r="B66" s="54" t="s">
        <v>213</v>
      </c>
      <c r="C66" s="192" t="s">
        <v>68</v>
      </c>
      <c r="D66" s="192"/>
      <c r="E66" s="192"/>
      <c r="F66" s="192"/>
      <c r="G66" s="192"/>
      <c r="H66" s="192"/>
      <c r="I66" s="192"/>
      <c r="J66" s="192"/>
      <c r="K66" s="31"/>
      <c r="L66" s="32"/>
      <c r="M66" s="32"/>
      <c r="N66" s="33"/>
      <c r="O66" s="32"/>
      <c r="P66" s="32"/>
      <c r="Q66" s="32"/>
      <c r="R66" s="32"/>
      <c r="S66" s="32"/>
      <c r="T66" s="32"/>
      <c r="U66" s="32"/>
      <c r="V66" s="32"/>
      <c r="W66" s="32"/>
      <c r="X66" s="32"/>
      <c r="Y66" s="32"/>
      <c r="Z66" s="32"/>
      <c r="AA66" s="32"/>
    </row>
    <row r="67" spans="1:27" x14ac:dyDescent="0.25">
      <c r="A67" s="204"/>
      <c r="B67" s="71"/>
      <c r="C67" s="73"/>
      <c r="D67" s="73" t="s">
        <v>69</v>
      </c>
      <c r="E67" s="74" t="s">
        <v>64</v>
      </c>
      <c r="F67" s="75">
        <v>14</v>
      </c>
      <c r="G67" s="80">
        <f>62.96+55.7+82.18</f>
        <v>200.84</v>
      </c>
      <c r="H67" s="74">
        <f>+G67*F67</f>
        <v>2811.76</v>
      </c>
      <c r="I67" s="76">
        <v>1700</v>
      </c>
      <c r="J67" s="76">
        <f>+I67*H67</f>
        <v>4779992</v>
      </c>
      <c r="K67" s="31"/>
      <c r="L67" s="32"/>
      <c r="M67" s="32"/>
      <c r="N67" s="33"/>
      <c r="O67" s="32"/>
      <c r="P67" s="32"/>
      <c r="Q67" s="32"/>
      <c r="R67" s="32"/>
      <c r="S67" s="32"/>
      <c r="T67" s="32"/>
      <c r="U67" s="32"/>
      <c r="V67" s="32"/>
      <c r="W67" s="32"/>
      <c r="X67" s="32"/>
      <c r="Y67" s="32"/>
      <c r="Z67" s="32"/>
      <c r="AA67" s="32"/>
    </row>
    <row r="68" spans="1:27" x14ac:dyDescent="0.25">
      <c r="A68" s="204"/>
      <c r="B68" s="54" t="s">
        <v>214</v>
      </c>
      <c r="C68" s="192" t="s">
        <v>70</v>
      </c>
      <c r="D68" s="192"/>
      <c r="E68" s="192"/>
      <c r="F68" s="192"/>
      <c r="G68" s="192"/>
      <c r="H68" s="192"/>
      <c r="I68" s="192"/>
      <c r="J68" s="192"/>
      <c r="K68" s="31"/>
      <c r="L68" s="32"/>
      <c r="M68" s="32"/>
      <c r="N68" s="33"/>
      <c r="O68" s="32"/>
      <c r="P68" s="32"/>
      <c r="Q68" s="32"/>
      <c r="R68" s="32"/>
      <c r="S68" s="32"/>
      <c r="T68" s="32"/>
      <c r="U68" s="32"/>
      <c r="V68" s="32"/>
      <c r="W68" s="32"/>
      <c r="X68" s="32"/>
      <c r="Y68" s="32"/>
      <c r="Z68" s="32"/>
      <c r="AA68" s="32"/>
    </row>
    <row r="69" spans="1:27" x14ac:dyDescent="0.25">
      <c r="A69" s="204"/>
      <c r="B69" s="74"/>
      <c r="C69" s="107"/>
      <c r="D69" s="73" t="s">
        <v>71</v>
      </c>
      <c r="E69" s="74" t="s">
        <v>64</v>
      </c>
      <c r="F69" s="75">
        <v>55</v>
      </c>
      <c r="G69" s="81">
        <v>50.68</v>
      </c>
      <c r="H69" s="75">
        <f>+G69*F69</f>
        <v>2787.4</v>
      </c>
      <c r="I69" s="76">
        <v>700</v>
      </c>
      <c r="J69" s="76">
        <f>+I69*H69</f>
        <v>1951180</v>
      </c>
      <c r="K69" s="31"/>
      <c r="L69" s="32"/>
      <c r="M69" s="32"/>
      <c r="N69" s="33"/>
      <c r="O69" s="32"/>
      <c r="P69" s="32"/>
      <c r="Q69" s="32"/>
      <c r="R69" s="32"/>
      <c r="S69" s="32"/>
      <c r="T69" s="32"/>
      <c r="U69" s="32"/>
      <c r="V69" s="32"/>
      <c r="W69" s="32"/>
      <c r="X69" s="32"/>
      <c r="Y69" s="32"/>
      <c r="Z69" s="32"/>
      <c r="AA69" s="32"/>
    </row>
    <row r="70" spans="1:27" x14ac:dyDescent="0.25">
      <c r="A70" s="204"/>
      <c r="B70" s="190"/>
      <c r="C70" s="190"/>
      <c r="D70" s="190"/>
      <c r="E70" s="190"/>
      <c r="F70" s="190"/>
      <c r="G70" s="190"/>
      <c r="H70" s="190"/>
      <c r="I70" s="79" t="s">
        <v>31</v>
      </c>
      <c r="J70" s="76">
        <f>SUM(J67:J69)</f>
        <v>6731172</v>
      </c>
      <c r="K70" s="31"/>
      <c r="L70" s="32"/>
      <c r="M70" s="32"/>
      <c r="N70" s="33"/>
      <c r="O70" s="32"/>
      <c r="P70" s="32"/>
      <c r="Q70" s="32"/>
      <c r="R70" s="32"/>
      <c r="S70" s="32"/>
      <c r="T70" s="32"/>
      <c r="U70" s="32"/>
      <c r="V70" s="32"/>
      <c r="W70" s="32"/>
      <c r="X70" s="32"/>
      <c r="Y70" s="32"/>
      <c r="Z70" s="32"/>
      <c r="AA70" s="32"/>
    </row>
    <row r="71" spans="1:27" x14ac:dyDescent="0.25">
      <c r="A71" s="188"/>
      <c r="B71" s="184"/>
      <c r="C71" s="184"/>
      <c r="D71" s="184"/>
      <c r="E71" s="184"/>
      <c r="F71" s="184"/>
      <c r="G71" s="184"/>
      <c r="H71" s="184"/>
      <c r="I71" s="184"/>
      <c r="J71" s="184"/>
      <c r="K71" s="31"/>
      <c r="L71" s="32"/>
      <c r="M71" s="32"/>
      <c r="N71" s="33"/>
      <c r="O71" s="32"/>
      <c r="P71" s="32"/>
      <c r="Q71" s="32"/>
      <c r="R71" s="32"/>
      <c r="S71" s="32"/>
      <c r="T71" s="32"/>
      <c r="U71" s="32"/>
      <c r="V71" s="32"/>
      <c r="W71" s="32"/>
      <c r="X71" s="32"/>
      <c r="Y71" s="32"/>
      <c r="Z71" s="32"/>
      <c r="AA71" s="32"/>
    </row>
    <row r="72" spans="1:27" x14ac:dyDescent="0.25">
      <c r="A72" s="53" t="s">
        <v>10</v>
      </c>
      <c r="B72" s="53" t="s">
        <v>11</v>
      </c>
      <c r="C72" s="29" t="s">
        <v>12</v>
      </c>
      <c r="D72" s="29" t="s">
        <v>13</v>
      </c>
      <c r="E72" s="53" t="s">
        <v>14</v>
      </c>
      <c r="F72" s="53" t="s">
        <v>15</v>
      </c>
      <c r="G72" s="53" t="s">
        <v>185</v>
      </c>
      <c r="H72" s="53" t="s">
        <v>185</v>
      </c>
      <c r="I72" s="53" t="s">
        <v>18</v>
      </c>
      <c r="J72" s="53" t="s">
        <v>19</v>
      </c>
      <c r="K72" s="31"/>
      <c r="L72" s="32"/>
      <c r="M72" s="32"/>
      <c r="N72" s="33"/>
      <c r="O72" s="32"/>
      <c r="P72" s="32"/>
      <c r="Q72" s="32"/>
      <c r="R72" s="32"/>
      <c r="S72" s="32"/>
      <c r="T72" s="32"/>
      <c r="U72" s="32"/>
      <c r="V72" s="32"/>
      <c r="W72" s="32"/>
      <c r="X72" s="32"/>
      <c r="Y72" s="32"/>
      <c r="Z72" s="32"/>
      <c r="AA72" s="32"/>
    </row>
    <row r="73" spans="1:27" x14ac:dyDescent="0.25">
      <c r="A73" s="189" t="s">
        <v>267</v>
      </c>
      <c r="B73" s="54" t="s">
        <v>215</v>
      </c>
      <c r="C73" s="202" t="s">
        <v>132</v>
      </c>
      <c r="D73" s="202"/>
      <c r="E73" s="202"/>
      <c r="F73" s="202"/>
      <c r="G73" s="202"/>
      <c r="H73" s="202"/>
      <c r="I73" s="202"/>
      <c r="J73" s="202"/>
      <c r="K73" s="31"/>
      <c r="L73" s="32"/>
      <c r="M73" s="32"/>
      <c r="N73" s="33"/>
      <c r="O73" s="32"/>
      <c r="P73" s="32"/>
      <c r="Q73" s="32"/>
      <c r="R73" s="32"/>
      <c r="S73" s="32"/>
      <c r="T73" s="32"/>
      <c r="U73" s="32"/>
      <c r="V73" s="32"/>
      <c r="W73" s="32"/>
      <c r="X73" s="32"/>
      <c r="Y73" s="32"/>
      <c r="Z73" s="32"/>
      <c r="AA73" s="32"/>
    </row>
    <row r="74" spans="1:27" x14ac:dyDescent="0.25">
      <c r="A74" s="184"/>
      <c r="B74" s="63"/>
      <c r="C74" s="106"/>
      <c r="D74" s="62" t="s">
        <v>235</v>
      </c>
      <c r="E74" s="63" t="s">
        <v>73</v>
      </c>
      <c r="F74" s="101">
        <v>1</v>
      </c>
      <c r="G74" s="83" t="s">
        <v>40</v>
      </c>
      <c r="H74" s="83" t="s">
        <v>40</v>
      </c>
      <c r="I74" s="65">
        <v>900000</v>
      </c>
      <c r="J74" s="65">
        <f t="shared" ref="J74" si="7">+F74*I74</f>
        <v>900000</v>
      </c>
      <c r="K74" s="31"/>
      <c r="L74" s="32"/>
      <c r="M74" s="32"/>
      <c r="N74" s="33"/>
      <c r="O74" s="32"/>
      <c r="P74" s="32"/>
      <c r="Q74" s="32"/>
      <c r="R74" s="32"/>
      <c r="S74" s="32"/>
      <c r="T74" s="32"/>
      <c r="U74" s="32"/>
      <c r="V74" s="32"/>
      <c r="W74" s="32"/>
      <c r="X74" s="32"/>
      <c r="Y74" s="32"/>
      <c r="Z74" s="32"/>
      <c r="AA74" s="32"/>
    </row>
    <row r="75" spans="1:27" x14ac:dyDescent="0.25">
      <c r="A75" s="184"/>
      <c r="B75" s="190"/>
      <c r="C75" s="190"/>
      <c r="D75" s="190"/>
      <c r="E75" s="190"/>
      <c r="F75" s="190"/>
      <c r="G75" s="190"/>
      <c r="H75" s="190"/>
      <c r="I75" s="70" t="s">
        <v>31</v>
      </c>
      <c r="J75" s="65">
        <f>SUM(J73:J74)</f>
        <v>900000</v>
      </c>
      <c r="K75" s="31"/>
      <c r="L75" s="32"/>
      <c r="M75" s="32"/>
      <c r="N75" s="33"/>
      <c r="O75" s="32"/>
      <c r="P75" s="32"/>
      <c r="Q75" s="32"/>
      <c r="R75" s="32"/>
      <c r="S75" s="32"/>
      <c r="T75" s="32"/>
      <c r="U75" s="32"/>
      <c r="V75" s="32"/>
      <c r="W75" s="32"/>
      <c r="X75" s="32"/>
      <c r="Y75" s="32"/>
      <c r="Z75" s="32"/>
      <c r="AA75" s="32"/>
    </row>
    <row r="76" spans="1:27" x14ac:dyDescent="0.25">
      <c r="A76" s="188"/>
      <c r="B76" s="184"/>
      <c r="C76" s="184"/>
      <c r="D76" s="184"/>
      <c r="E76" s="184"/>
      <c r="F76" s="184"/>
      <c r="G76" s="184"/>
      <c r="H76" s="184"/>
      <c r="I76" s="184"/>
      <c r="J76" s="184"/>
      <c r="K76" s="31"/>
      <c r="L76" s="32"/>
      <c r="M76" s="32"/>
      <c r="N76" s="33"/>
      <c r="O76" s="32"/>
      <c r="P76" s="32"/>
      <c r="Q76" s="32"/>
      <c r="R76" s="32"/>
      <c r="S76" s="32"/>
      <c r="T76" s="32"/>
      <c r="U76" s="32"/>
      <c r="V76" s="32"/>
      <c r="W76" s="32"/>
      <c r="X76" s="32"/>
      <c r="Y76" s="32"/>
      <c r="Z76" s="32"/>
      <c r="AA76" s="32"/>
    </row>
    <row r="77" spans="1:27" x14ac:dyDescent="0.25">
      <c r="A77" s="53" t="s">
        <v>10</v>
      </c>
      <c r="B77" s="53" t="s">
        <v>11</v>
      </c>
      <c r="C77" s="29" t="s">
        <v>12</v>
      </c>
      <c r="D77" s="29" t="s">
        <v>13</v>
      </c>
      <c r="E77" s="53" t="s">
        <v>14</v>
      </c>
      <c r="F77" s="53" t="s">
        <v>15</v>
      </c>
      <c r="G77" s="53" t="s">
        <v>185</v>
      </c>
      <c r="H77" s="53" t="s">
        <v>17</v>
      </c>
      <c r="I77" s="53" t="s">
        <v>18</v>
      </c>
      <c r="J77" s="53" t="s">
        <v>19</v>
      </c>
      <c r="K77" s="31"/>
      <c r="L77" s="32"/>
      <c r="M77" s="32"/>
      <c r="N77" s="33"/>
      <c r="O77" s="32"/>
      <c r="P77" s="32"/>
      <c r="Q77" s="32"/>
      <c r="R77" s="32"/>
      <c r="S77" s="32"/>
      <c r="T77" s="32"/>
      <c r="U77" s="32"/>
      <c r="V77" s="32"/>
      <c r="W77" s="32"/>
      <c r="X77" s="32"/>
      <c r="Y77" s="32"/>
      <c r="Z77" s="32"/>
      <c r="AA77" s="32"/>
    </row>
    <row r="78" spans="1:27" x14ac:dyDescent="0.25">
      <c r="A78" s="189" t="s">
        <v>74</v>
      </c>
      <c r="B78" s="54" t="s">
        <v>216</v>
      </c>
      <c r="C78" s="191" t="s">
        <v>75</v>
      </c>
      <c r="D78" s="191"/>
      <c r="E78" s="191"/>
      <c r="F78" s="191"/>
      <c r="G78" s="191"/>
      <c r="H78" s="191"/>
      <c r="I78" s="191"/>
      <c r="J78" s="191"/>
      <c r="K78" s="31"/>
      <c r="L78" s="32"/>
      <c r="M78" s="32"/>
      <c r="N78" s="33"/>
      <c r="O78" s="32"/>
      <c r="P78" s="32"/>
      <c r="Q78" s="32"/>
      <c r="R78" s="32"/>
      <c r="S78" s="32"/>
      <c r="T78" s="32"/>
      <c r="U78" s="32"/>
      <c r="V78" s="32"/>
      <c r="W78" s="32"/>
      <c r="X78" s="32"/>
      <c r="Y78" s="32"/>
      <c r="Z78" s="32"/>
      <c r="AA78" s="32"/>
    </row>
    <row r="79" spans="1:27" x14ac:dyDescent="0.25">
      <c r="A79" s="184"/>
      <c r="B79" s="23"/>
      <c r="C79" s="96"/>
      <c r="D79" s="29" t="s">
        <v>236</v>
      </c>
      <c r="E79" s="23" t="s">
        <v>56</v>
      </c>
      <c r="F79" s="24">
        <v>25</v>
      </c>
      <c r="G79" s="23" t="s">
        <v>40</v>
      </c>
      <c r="H79" s="23" t="s">
        <v>184</v>
      </c>
      <c r="I79" s="27">
        <v>120000</v>
      </c>
      <c r="J79" s="27">
        <f t="shared" ref="J79:J88" si="8">I79*F79</f>
        <v>3000000</v>
      </c>
      <c r="K79" s="31">
        <v>117900</v>
      </c>
      <c r="L79" s="32"/>
      <c r="M79" s="32"/>
      <c r="N79" s="33"/>
      <c r="O79" s="32"/>
      <c r="P79" s="32"/>
      <c r="Q79" s="32"/>
      <c r="R79" s="32"/>
      <c r="S79" s="32"/>
      <c r="T79" s="32"/>
      <c r="U79" s="32"/>
      <c r="V79" s="32"/>
      <c r="W79" s="32"/>
      <c r="X79" s="32"/>
      <c r="Y79" s="32"/>
      <c r="Z79" s="32"/>
      <c r="AA79" s="32"/>
    </row>
    <row r="80" spans="1:27" x14ac:dyDescent="0.25">
      <c r="A80" s="184"/>
      <c r="B80" s="23"/>
      <c r="C80" s="96"/>
      <c r="D80" s="29" t="s">
        <v>240</v>
      </c>
      <c r="E80" s="23" t="s">
        <v>56</v>
      </c>
      <c r="F80" s="24">
        <v>23</v>
      </c>
      <c r="G80" s="23" t="s">
        <v>40</v>
      </c>
      <c r="H80" s="23" t="s">
        <v>184</v>
      </c>
      <c r="I80" s="27">
        <v>23000</v>
      </c>
      <c r="J80" s="27">
        <f t="shared" si="8"/>
        <v>529000</v>
      </c>
      <c r="K80" s="31">
        <v>21900</v>
      </c>
      <c r="L80" s="32"/>
      <c r="M80" s="32"/>
      <c r="N80" s="33"/>
      <c r="O80" s="32"/>
      <c r="P80" s="32"/>
      <c r="Q80" s="32"/>
      <c r="R80" s="32"/>
      <c r="S80" s="32"/>
      <c r="T80" s="32"/>
      <c r="U80" s="32"/>
      <c r="V80" s="32"/>
      <c r="W80" s="32"/>
      <c r="X80" s="32"/>
      <c r="Y80" s="32"/>
      <c r="Z80" s="32"/>
      <c r="AA80" s="32"/>
    </row>
    <row r="81" spans="1:27" x14ac:dyDescent="0.25">
      <c r="A81" s="184"/>
      <c r="B81" s="23"/>
      <c r="C81" s="96"/>
      <c r="D81" s="29" t="s">
        <v>244</v>
      </c>
      <c r="E81" s="23" t="s">
        <v>22</v>
      </c>
      <c r="F81" s="24">
        <v>1</v>
      </c>
      <c r="G81" s="23" t="s">
        <v>40</v>
      </c>
      <c r="H81" s="23" t="s">
        <v>40</v>
      </c>
      <c r="I81" s="27">
        <v>628000</v>
      </c>
      <c r="J81" s="27">
        <f t="shared" si="8"/>
        <v>628000</v>
      </c>
      <c r="K81" s="31">
        <v>588000</v>
      </c>
      <c r="L81" s="32"/>
      <c r="M81" s="32"/>
      <c r="N81" s="33"/>
      <c r="O81" s="32"/>
      <c r="P81" s="32"/>
      <c r="Q81" s="32"/>
      <c r="R81" s="32"/>
      <c r="S81" s="32"/>
      <c r="T81" s="32"/>
      <c r="U81" s="32"/>
      <c r="V81" s="32"/>
      <c r="W81" s="32"/>
      <c r="X81" s="32"/>
      <c r="Y81" s="32"/>
      <c r="Z81" s="32"/>
      <c r="AA81" s="32"/>
    </row>
    <row r="82" spans="1:27" x14ac:dyDescent="0.25">
      <c r="A82" s="184"/>
      <c r="B82" s="23"/>
      <c r="C82" s="96"/>
      <c r="D82" s="29" t="s">
        <v>76</v>
      </c>
      <c r="E82" s="23" t="s">
        <v>56</v>
      </c>
      <c r="F82" s="24">
        <v>8</v>
      </c>
      <c r="G82" s="23" t="s">
        <v>40</v>
      </c>
      <c r="H82" s="23" t="s">
        <v>40</v>
      </c>
      <c r="I82" s="27">
        <v>50000</v>
      </c>
      <c r="J82" s="27">
        <f t="shared" si="8"/>
        <v>400000</v>
      </c>
      <c r="K82" s="31"/>
      <c r="L82" s="32"/>
      <c r="M82" s="32"/>
      <c r="N82" s="33"/>
      <c r="O82" s="32"/>
      <c r="P82" s="32"/>
      <c r="Q82" s="32"/>
      <c r="R82" s="32"/>
      <c r="S82" s="32"/>
      <c r="T82" s="32"/>
      <c r="U82" s="32"/>
      <c r="V82" s="32"/>
      <c r="W82" s="32"/>
      <c r="X82" s="32"/>
      <c r="Y82" s="32"/>
      <c r="Z82" s="32"/>
      <c r="AA82" s="32"/>
    </row>
    <row r="83" spans="1:27" x14ac:dyDescent="0.25">
      <c r="A83" s="184"/>
      <c r="B83" s="23"/>
      <c r="C83" s="96"/>
      <c r="D83" s="29" t="s">
        <v>77</v>
      </c>
      <c r="E83" s="23" t="s">
        <v>73</v>
      </c>
      <c r="F83" s="24">
        <v>5</v>
      </c>
      <c r="G83" s="23" t="s">
        <v>40</v>
      </c>
      <c r="H83" s="23" t="s">
        <v>78</v>
      </c>
      <c r="I83" s="27">
        <v>12000</v>
      </c>
      <c r="J83" s="27">
        <f t="shared" si="8"/>
        <v>60000</v>
      </c>
      <c r="K83" s="31">
        <v>11560</v>
      </c>
      <c r="L83" s="32"/>
      <c r="M83" s="32"/>
      <c r="N83" s="33"/>
      <c r="O83" s="32"/>
      <c r="P83" s="32"/>
      <c r="Q83" s="32"/>
      <c r="R83" s="32"/>
      <c r="S83" s="32"/>
      <c r="T83" s="32"/>
      <c r="U83" s="32"/>
      <c r="V83" s="32"/>
      <c r="W83" s="32"/>
      <c r="X83" s="32"/>
      <c r="Y83" s="32"/>
      <c r="Z83" s="32"/>
      <c r="AA83" s="32"/>
    </row>
    <row r="84" spans="1:27" x14ac:dyDescent="0.25">
      <c r="A84" s="184"/>
      <c r="B84" s="23"/>
      <c r="C84" s="96"/>
      <c r="D84" s="29" t="s">
        <v>79</v>
      </c>
      <c r="E84" s="23" t="s">
        <v>73</v>
      </c>
      <c r="F84" s="24">
        <v>1</v>
      </c>
      <c r="G84" s="23" t="s">
        <v>40</v>
      </c>
      <c r="H84" s="23" t="s">
        <v>40</v>
      </c>
      <c r="I84" s="27">
        <v>40000</v>
      </c>
      <c r="J84" s="27">
        <f t="shared" si="8"/>
        <v>40000</v>
      </c>
      <c r="K84" s="31"/>
      <c r="L84" s="32"/>
      <c r="M84" s="32"/>
      <c r="N84" s="33"/>
      <c r="O84" s="32"/>
      <c r="P84" s="32"/>
      <c r="Q84" s="32"/>
      <c r="R84" s="32"/>
      <c r="S84" s="32"/>
      <c r="T84" s="32"/>
      <c r="U84" s="32"/>
      <c r="V84" s="32"/>
      <c r="W84" s="32"/>
      <c r="X84" s="32"/>
      <c r="Y84" s="32"/>
      <c r="Z84" s="32"/>
      <c r="AA84" s="32"/>
    </row>
    <row r="85" spans="1:27" x14ac:dyDescent="0.25">
      <c r="A85" s="184"/>
      <c r="B85" s="23"/>
      <c r="C85" s="96"/>
      <c r="D85" s="29" t="s">
        <v>268</v>
      </c>
      <c r="E85" s="23" t="s">
        <v>56</v>
      </c>
      <c r="F85" s="24">
        <v>1</v>
      </c>
      <c r="G85" s="23" t="s">
        <v>40</v>
      </c>
      <c r="H85" s="23" t="s">
        <v>40</v>
      </c>
      <c r="I85" s="27">
        <v>40000</v>
      </c>
      <c r="J85" s="27">
        <f t="shared" si="8"/>
        <v>40000</v>
      </c>
      <c r="K85" s="31"/>
      <c r="L85" s="32"/>
      <c r="M85" s="32"/>
      <c r="N85" s="33"/>
      <c r="O85" s="32"/>
      <c r="P85" s="32"/>
      <c r="Q85" s="32"/>
      <c r="R85" s="32"/>
      <c r="S85" s="32"/>
      <c r="T85" s="32"/>
      <c r="U85" s="32"/>
      <c r="V85" s="32"/>
      <c r="W85" s="32"/>
      <c r="X85" s="32"/>
      <c r="Y85" s="32"/>
      <c r="Z85" s="32"/>
      <c r="AA85" s="32"/>
    </row>
    <row r="86" spans="1:27" x14ac:dyDescent="0.25">
      <c r="A86" s="184"/>
      <c r="B86" s="23"/>
      <c r="C86" s="96"/>
      <c r="D86" s="29" t="s">
        <v>245</v>
      </c>
      <c r="E86" s="23" t="s">
        <v>56</v>
      </c>
      <c r="F86" s="24">
        <v>1</v>
      </c>
      <c r="G86" s="23" t="s">
        <v>40</v>
      </c>
      <c r="H86" s="23" t="s">
        <v>40</v>
      </c>
      <c r="I86" s="27">
        <v>120000</v>
      </c>
      <c r="J86" s="27">
        <f t="shared" si="8"/>
        <v>120000</v>
      </c>
      <c r="K86" s="31">
        <v>100000</v>
      </c>
      <c r="L86" s="32"/>
      <c r="M86" s="32"/>
      <c r="N86" s="33"/>
      <c r="O86" s="32"/>
      <c r="P86" s="32"/>
      <c r="Q86" s="32"/>
      <c r="R86" s="32"/>
      <c r="S86" s="32"/>
      <c r="T86" s="32"/>
      <c r="U86" s="32"/>
      <c r="V86" s="32"/>
      <c r="W86" s="32"/>
      <c r="X86" s="32"/>
      <c r="Y86" s="32"/>
      <c r="Z86" s="32"/>
      <c r="AA86" s="32"/>
    </row>
    <row r="87" spans="1:27" x14ac:dyDescent="0.25">
      <c r="A87" s="184"/>
      <c r="B87" s="23"/>
      <c r="C87" s="96"/>
      <c r="D87" s="29" t="s">
        <v>80</v>
      </c>
      <c r="E87" s="23" t="s">
        <v>56</v>
      </c>
      <c r="F87" s="24">
        <v>1</v>
      </c>
      <c r="G87" s="23" t="s">
        <v>40</v>
      </c>
      <c r="H87" s="23" t="s">
        <v>40</v>
      </c>
      <c r="I87" s="27">
        <v>190000</v>
      </c>
      <c r="J87" s="27">
        <f t="shared" si="8"/>
        <v>190000</v>
      </c>
      <c r="K87" s="31">
        <v>187000</v>
      </c>
      <c r="L87" s="32"/>
      <c r="M87" s="32"/>
      <c r="N87" s="33"/>
      <c r="O87" s="32"/>
      <c r="P87" s="32"/>
      <c r="Q87" s="32"/>
      <c r="R87" s="32"/>
      <c r="S87" s="32"/>
      <c r="T87" s="32"/>
      <c r="U87" s="32"/>
      <c r="V87" s="32"/>
      <c r="W87" s="32"/>
      <c r="X87" s="32"/>
      <c r="Y87" s="32"/>
      <c r="Z87" s="32"/>
      <c r="AA87" s="32"/>
    </row>
    <row r="88" spans="1:27" x14ac:dyDescent="0.25">
      <c r="A88" s="184"/>
      <c r="B88" s="23"/>
      <c r="C88" s="96"/>
      <c r="D88" s="84" t="s">
        <v>81</v>
      </c>
      <c r="E88" s="23" t="s">
        <v>56</v>
      </c>
      <c r="F88" s="24">
        <v>1</v>
      </c>
      <c r="G88" s="23" t="s">
        <v>40</v>
      </c>
      <c r="H88" s="23" t="s">
        <v>82</v>
      </c>
      <c r="I88" s="27">
        <v>570000</v>
      </c>
      <c r="J88" s="27">
        <f t="shared" si="8"/>
        <v>570000</v>
      </c>
      <c r="K88" s="31">
        <v>560000</v>
      </c>
      <c r="L88" s="32"/>
      <c r="M88" s="32"/>
      <c r="N88" s="33"/>
      <c r="O88" s="32"/>
      <c r="P88" s="32"/>
      <c r="Q88" s="32"/>
      <c r="R88" s="32"/>
      <c r="S88" s="32"/>
      <c r="T88" s="32"/>
      <c r="U88" s="32"/>
      <c r="V88" s="32"/>
      <c r="W88" s="32"/>
      <c r="X88" s="32"/>
      <c r="Y88" s="32"/>
      <c r="Z88" s="32"/>
      <c r="AA88" s="32"/>
    </row>
    <row r="89" spans="1:27" x14ac:dyDescent="0.25">
      <c r="A89" s="184"/>
      <c r="B89" s="190"/>
      <c r="C89" s="190"/>
      <c r="D89" s="190"/>
      <c r="E89" s="190"/>
      <c r="F89" s="190"/>
      <c r="G89" s="190"/>
      <c r="H89" s="190"/>
      <c r="I89" s="28" t="s">
        <v>31</v>
      </c>
      <c r="J89" s="27">
        <f>SUM(J79:J88)</f>
        <v>5577000</v>
      </c>
      <c r="K89" s="31"/>
      <c r="L89" s="32"/>
      <c r="M89" s="32"/>
      <c r="N89" s="33"/>
      <c r="O89" s="32"/>
      <c r="P89" s="32"/>
      <c r="Q89" s="32"/>
      <c r="R89" s="32"/>
      <c r="S89" s="32"/>
      <c r="T89" s="32"/>
      <c r="U89" s="32"/>
      <c r="V89" s="32"/>
      <c r="W89" s="32"/>
      <c r="X89" s="32"/>
      <c r="Y89" s="32"/>
      <c r="Z89" s="32"/>
      <c r="AA89" s="32"/>
    </row>
    <row r="90" spans="1:27" x14ac:dyDescent="0.25">
      <c r="A90" s="184"/>
      <c r="B90" s="54" t="s">
        <v>217</v>
      </c>
      <c r="C90" s="191" t="s">
        <v>30</v>
      </c>
      <c r="D90" s="191"/>
      <c r="E90" s="191"/>
      <c r="F90" s="191"/>
      <c r="G90" s="191"/>
      <c r="H90" s="191"/>
      <c r="I90" s="191"/>
      <c r="J90" s="191"/>
      <c r="K90" s="31"/>
      <c r="L90" s="32"/>
      <c r="M90" s="32"/>
      <c r="N90" s="33"/>
      <c r="O90" s="32"/>
      <c r="P90" s="32"/>
      <c r="Q90" s="32"/>
      <c r="R90" s="32"/>
      <c r="S90" s="32"/>
      <c r="T90" s="32"/>
      <c r="U90" s="32"/>
      <c r="V90" s="32"/>
      <c r="W90" s="32"/>
      <c r="X90" s="32"/>
      <c r="Y90" s="32"/>
      <c r="Z90" s="32"/>
      <c r="AA90" s="32"/>
    </row>
    <row r="91" spans="1:27" x14ac:dyDescent="0.25">
      <c r="A91" s="184"/>
      <c r="B91" s="23"/>
      <c r="C91" s="29"/>
      <c r="D91" s="29" t="s">
        <v>246</v>
      </c>
      <c r="E91" s="23" t="s">
        <v>73</v>
      </c>
      <c r="F91" s="24">
        <v>1</v>
      </c>
      <c r="G91" s="23" t="s">
        <v>40</v>
      </c>
      <c r="H91" s="23" t="s">
        <v>40</v>
      </c>
      <c r="I91" s="27">
        <v>5700000</v>
      </c>
      <c r="J91" s="27">
        <f>I91*F91</f>
        <v>5700000</v>
      </c>
      <c r="K91" s="31">
        <v>41000</v>
      </c>
      <c r="L91" s="32"/>
      <c r="M91" s="32"/>
      <c r="N91" s="33"/>
      <c r="O91" s="32"/>
      <c r="P91" s="32"/>
      <c r="Q91" s="32"/>
      <c r="R91" s="32"/>
      <c r="S91" s="32"/>
      <c r="T91" s="32"/>
      <c r="U91" s="32"/>
      <c r="V91" s="32"/>
      <c r="W91" s="32"/>
      <c r="X91" s="32"/>
      <c r="Y91" s="32"/>
      <c r="Z91" s="32"/>
      <c r="AA91" s="32"/>
    </row>
    <row r="92" spans="1:27" x14ac:dyDescent="0.25">
      <c r="A92" s="184"/>
      <c r="B92" s="190"/>
      <c r="C92" s="190"/>
      <c r="D92" s="190"/>
      <c r="E92" s="190"/>
      <c r="F92" s="190"/>
      <c r="G92" s="190"/>
      <c r="H92" s="190"/>
      <c r="I92" s="28" t="s">
        <v>31</v>
      </c>
      <c r="J92" s="27">
        <f>SUM(J89:J91)</f>
        <v>11277000</v>
      </c>
      <c r="K92" s="31"/>
      <c r="L92" s="32"/>
      <c r="M92" s="32"/>
      <c r="N92" s="33"/>
      <c r="O92" s="32"/>
      <c r="P92" s="32"/>
      <c r="Q92" s="32"/>
      <c r="R92" s="32"/>
      <c r="S92" s="32"/>
      <c r="T92" s="32"/>
      <c r="U92" s="32"/>
      <c r="V92" s="32"/>
      <c r="W92" s="32"/>
      <c r="X92" s="32"/>
      <c r="Y92" s="32"/>
      <c r="Z92" s="32"/>
      <c r="AA92" s="32"/>
    </row>
    <row r="93" spans="1:27" x14ac:dyDescent="0.25">
      <c r="A93" s="188"/>
      <c r="B93" s="184"/>
      <c r="C93" s="184"/>
      <c r="D93" s="184"/>
      <c r="E93" s="184"/>
      <c r="F93" s="184"/>
      <c r="G93" s="184"/>
      <c r="H93" s="184"/>
      <c r="I93" s="184"/>
      <c r="J93" s="184"/>
      <c r="K93" s="31"/>
      <c r="L93" s="32"/>
      <c r="M93" s="32"/>
      <c r="N93" s="33"/>
      <c r="O93" s="32"/>
      <c r="P93" s="32"/>
      <c r="Q93" s="32"/>
      <c r="R93" s="32"/>
      <c r="S93" s="32"/>
      <c r="T93" s="32"/>
      <c r="U93" s="32"/>
      <c r="V93" s="32"/>
      <c r="W93" s="32"/>
      <c r="X93" s="32"/>
      <c r="Y93" s="32"/>
      <c r="Z93" s="32"/>
      <c r="AA93" s="32"/>
    </row>
    <row r="94" spans="1:27" x14ac:dyDescent="0.25">
      <c r="A94" s="53" t="s">
        <v>10</v>
      </c>
      <c r="B94" s="53" t="s">
        <v>11</v>
      </c>
      <c r="C94" s="29" t="s">
        <v>12</v>
      </c>
      <c r="D94" s="29" t="s">
        <v>13</v>
      </c>
      <c r="E94" s="53" t="s">
        <v>14</v>
      </c>
      <c r="F94" s="53" t="s">
        <v>15</v>
      </c>
      <c r="G94" s="53" t="s">
        <v>185</v>
      </c>
      <c r="H94" s="53" t="s">
        <v>185</v>
      </c>
      <c r="I94" s="53" t="s">
        <v>18</v>
      </c>
      <c r="J94" s="53" t="s">
        <v>19</v>
      </c>
      <c r="K94" s="31"/>
      <c r="L94" s="32"/>
      <c r="M94" s="32"/>
      <c r="N94" s="33"/>
      <c r="O94" s="32"/>
      <c r="P94" s="32"/>
      <c r="Q94" s="32"/>
      <c r="R94" s="32"/>
      <c r="S94" s="32"/>
      <c r="T94" s="32"/>
      <c r="U94" s="32"/>
      <c r="V94" s="32"/>
      <c r="W94" s="32"/>
      <c r="X94" s="32"/>
      <c r="Y94" s="32"/>
      <c r="Z94" s="32"/>
      <c r="AA94" s="32"/>
    </row>
    <row r="95" spans="1:27" x14ac:dyDescent="0.25">
      <c r="A95" s="196" t="s">
        <v>83</v>
      </c>
      <c r="B95" s="54" t="s">
        <v>218</v>
      </c>
      <c r="C95" s="192" t="s">
        <v>68</v>
      </c>
      <c r="D95" s="192"/>
      <c r="E95" s="192"/>
      <c r="F95" s="192"/>
      <c r="G95" s="192"/>
      <c r="H95" s="192"/>
      <c r="I95" s="192"/>
      <c r="J95" s="192"/>
      <c r="K95" s="31"/>
      <c r="L95" s="45"/>
      <c r="M95" s="49" t="s">
        <v>84</v>
      </c>
      <c r="N95" s="33"/>
      <c r="O95" s="32"/>
      <c r="P95" s="32"/>
      <c r="Q95" s="32"/>
      <c r="R95" s="32"/>
      <c r="S95" s="32"/>
      <c r="T95" s="32"/>
      <c r="U95" s="32"/>
      <c r="V95" s="32"/>
      <c r="W95" s="32"/>
      <c r="X95" s="32"/>
      <c r="Y95" s="32"/>
      <c r="Z95" s="32"/>
      <c r="AA95" s="32"/>
    </row>
    <row r="96" spans="1:27" x14ac:dyDescent="0.25">
      <c r="A96" s="184"/>
      <c r="B96" s="71"/>
      <c r="C96" s="73"/>
      <c r="D96" s="73" t="s">
        <v>85</v>
      </c>
      <c r="E96" s="74" t="s">
        <v>38</v>
      </c>
      <c r="F96" s="75">
        <v>12785</v>
      </c>
      <c r="G96" s="75" t="s">
        <v>40</v>
      </c>
      <c r="H96" s="75" t="s">
        <v>40</v>
      </c>
      <c r="I96" s="76">
        <v>233</v>
      </c>
      <c r="J96" s="76">
        <f t="shared" ref="J96:J97" si="9">F96*I96</f>
        <v>2978905</v>
      </c>
      <c r="K96" s="31" t="s">
        <v>86</v>
      </c>
      <c r="L96" s="32">
        <v>12176</v>
      </c>
      <c r="M96" s="32" t="s">
        <v>87</v>
      </c>
      <c r="N96" s="33"/>
      <c r="O96" s="32"/>
      <c r="P96" s="32"/>
      <c r="Q96" s="32"/>
      <c r="R96" s="32"/>
      <c r="S96" s="32"/>
      <c r="T96" s="32"/>
      <c r="U96" s="32"/>
      <c r="V96" s="32"/>
      <c r="W96" s="32"/>
      <c r="X96" s="32"/>
      <c r="Y96" s="32"/>
      <c r="Z96" s="32"/>
      <c r="AA96" s="32"/>
    </row>
    <row r="97" spans="1:27" x14ac:dyDescent="0.25">
      <c r="A97" s="184"/>
      <c r="B97" s="74"/>
      <c r="C97" s="107"/>
      <c r="D97" s="73" t="s">
        <v>88</v>
      </c>
      <c r="E97" s="74" t="s">
        <v>38</v>
      </c>
      <c r="F97" s="75">
        <v>3300</v>
      </c>
      <c r="G97" s="74" t="s">
        <v>40</v>
      </c>
      <c r="H97" s="74" t="s">
        <v>40</v>
      </c>
      <c r="I97" s="76">
        <v>570</v>
      </c>
      <c r="J97" s="76">
        <f t="shared" si="9"/>
        <v>1881000</v>
      </c>
      <c r="K97" s="31"/>
      <c r="L97" s="32">
        <v>3141.49</v>
      </c>
      <c r="M97" s="32" t="s">
        <v>87</v>
      </c>
      <c r="N97" s="33"/>
      <c r="O97" s="32"/>
      <c r="P97" s="32"/>
      <c r="Q97" s="32"/>
      <c r="R97" s="32"/>
      <c r="S97" s="32"/>
      <c r="T97" s="32"/>
      <c r="U97" s="32"/>
      <c r="V97" s="32"/>
      <c r="W97" s="32"/>
      <c r="X97" s="32"/>
      <c r="Y97" s="32"/>
      <c r="Z97" s="32"/>
      <c r="AA97" s="32"/>
    </row>
    <row r="98" spans="1:27" x14ac:dyDescent="0.25">
      <c r="A98" s="184"/>
      <c r="B98" s="190"/>
      <c r="C98" s="190"/>
      <c r="D98" s="190"/>
      <c r="E98" s="190"/>
      <c r="F98" s="190"/>
      <c r="G98" s="190"/>
      <c r="H98" s="190"/>
      <c r="I98" s="79" t="s">
        <v>31</v>
      </c>
      <c r="J98" s="76">
        <f>SUM(J96:J97)</f>
        <v>4859905</v>
      </c>
      <c r="K98" s="31"/>
      <c r="L98" s="32"/>
      <c r="M98" s="32"/>
      <c r="N98" s="33"/>
      <c r="O98" s="32"/>
      <c r="P98" s="32"/>
      <c r="Q98" s="32"/>
      <c r="R98" s="32"/>
      <c r="S98" s="32"/>
      <c r="T98" s="32"/>
      <c r="U98" s="32"/>
      <c r="V98" s="32"/>
      <c r="W98" s="32"/>
      <c r="X98" s="32"/>
      <c r="Y98" s="32"/>
      <c r="Z98" s="32"/>
      <c r="AA98" s="32"/>
    </row>
    <row r="99" spans="1:27" x14ac:dyDescent="0.25">
      <c r="A99" s="188"/>
      <c r="B99" s="184"/>
      <c r="C99" s="184"/>
      <c r="D99" s="184"/>
      <c r="E99" s="184"/>
      <c r="F99" s="184"/>
      <c r="G99" s="184"/>
      <c r="H99" s="184"/>
      <c r="I99" s="184"/>
      <c r="J99" s="184"/>
      <c r="K99" s="31"/>
      <c r="L99" s="32"/>
      <c r="M99" s="32"/>
      <c r="N99" s="33"/>
      <c r="O99" s="32"/>
      <c r="P99" s="32"/>
      <c r="Q99" s="32"/>
      <c r="R99" s="32"/>
      <c r="S99" s="32"/>
      <c r="T99" s="32"/>
      <c r="U99" s="32"/>
      <c r="V99" s="32"/>
      <c r="W99" s="32"/>
      <c r="X99" s="32"/>
      <c r="Y99" s="32"/>
      <c r="Z99" s="32"/>
      <c r="AA99" s="32"/>
    </row>
    <row r="100" spans="1:27" x14ac:dyDescent="0.25">
      <c r="A100" s="53" t="s">
        <v>10</v>
      </c>
      <c r="B100" s="53" t="s">
        <v>11</v>
      </c>
      <c r="C100" s="29" t="s">
        <v>12</v>
      </c>
      <c r="D100" s="29" t="s">
        <v>13</v>
      </c>
      <c r="E100" s="53" t="s">
        <v>14</v>
      </c>
      <c r="F100" s="53" t="s">
        <v>15</v>
      </c>
      <c r="G100" s="53" t="s">
        <v>185</v>
      </c>
      <c r="H100" s="53" t="s">
        <v>185</v>
      </c>
      <c r="I100" s="53" t="s">
        <v>18</v>
      </c>
      <c r="J100" s="53" t="s">
        <v>19</v>
      </c>
      <c r="K100" s="31"/>
      <c r="L100" s="45"/>
      <c r="M100" s="45" t="s">
        <v>67</v>
      </c>
      <c r="N100" s="33"/>
      <c r="O100" s="32"/>
      <c r="P100" s="32"/>
      <c r="Q100" s="32"/>
      <c r="R100" s="32"/>
      <c r="S100" s="32"/>
      <c r="T100" s="32"/>
      <c r="U100" s="32"/>
      <c r="V100" s="32"/>
      <c r="W100" s="32"/>
      <c r="X100" s="32"/>
      <c r="Y100" s="32"/>
      <c r="Z100" s="32"/>
      <c r="AA100" s="32"/>
    </row>
    <row r="101" spans="1:27" x14ac:dyDescent="0.25">
      <c r="A101" s="189" t="s">
        <v>89</v>
      </c>
      <c r="B101" s="54" t="s">
        <v>219</v>
      </c>
      <c r="C101" s="199" t="s">
        <v>68</v>
      </c>
      <c r="D101" s="199"/>
      <c r="E101" s="199"/>
      <c r="F101" s="199"/>
      <c r="G101" s="199"/>
      <c r="H101" s="199"/>
      <c r="I101" s="199"/>
      <c r="J101" s="199"/>
      <c r="K101" s="31"/>
      <c r="L101" s="32"/>
      <c r="M101" s="32"/>
      <c r="N101" s="33"/>
      <c r="O101" s="32"/>
      <c r="P101" s="32"/>
      <c r="Q101" s="32"/>
      <c r="R101" s="32"/>
      <c r="S101" s="32"/>
      <c r="T101" s="32"/>
      <c r="U101" s="32"/>
      <c r="V101" s="32"/>
      <c r="W101" s="32"/>
      <c r="X101" s="32"/>
      <c r="Y101" s="32"/>
      <c r="Z101" s="32"/>
      <c r="AA101" s="32"/>
    </row>
    <row r="102" spans="1:27" x14ac:dyDescent="0.25">
      <c r="A102" s="184"/>
      <c r="B102" s="25"/>
      <c r="C102" s="94"/>
      <c r="D102" s="85" t="s">
        <v>90</v>
      </c>
      <c r="E102" s="25" t="s">
        <v>64</v>
      </c>
      <c r="F102" s="86">
        <f>(2.63+2.5+7.015)</f>
        <v>12.145</v>
      </c>
      <c r="G102" s="75" t="s">
        <v>40</v>
      </c>
      <c r="H102" s="75" t="s">
        <v>40</v>
      </c>
      <c r="I102" s="87">
        <v>0</v>
      </c>
      <c r="J102" s="87">
        <f t="shared" ref="J102:J115" si="10">F102*I102</f>
        <v>0</v>
      </c>
      <c r="K102" s="31"/>
      <c r="L102" s="32"/>
      <c r="M102" s="32"/>
      <c r="N102" s="33"/>
      <c r="O102" s="32"/>
      <c r="P102" s="32"/>
      <c r="Q102" s="32"/>
      <c r="R102" s="32"/>
      <c r="S102" s="32"/>
      <c r="T102" s="32"/>
      <c r="U102" s="32"/>
      <c r="V102" s="32"/>
      <c r="W102" s="32"/>
      <c r="X102" s="32"/>
      <c r="Y102" s="32"/>
      <c r="Z102" s="32"/>
      <c r="AA102" s="32"/>
    </row>
    <row r="103" spans="1:27" x14ac:dyDescent="0.25">
      <c r="A103" s="184"/>
      <c r="B103" s="25"/>
      <c r="C103" s="94"/>
      <c r="D103" s="85" t="s">
        <v>91</v>
      </c>
      <c r="E103" s="25" t="s">
        <v>64</v>
      </c>
      <c r="F103" s="25">
        <f>(13.45+13.45+19.74)</f>
        <v>46.64</v>
      </c>
      <c r="G103" s="75" t="s">
        <v>40</v>
      </c>
      <c r="H103" s="75" t="s">
        <v>40</v>
      </c>
      <c r="I103" s="87">
        <v>0</v>
      </c>
      <c r="J103" s="87">
        <f t="shared" si="10"/>
        <v>0</v>
      </c>
      <c r="K103" s="31"/>
      <c r="L103" s="32"/>
      <c r="M103" s="32"/>
      <c r="N103" s="33"/>
      <c r="O103" s="32"/>
      <c r="P103" s="32"/>
      <c r="Q103" s="32"/>
      <c r="R103" s="32"/>
      <c r="S103" s="32"/>
      <c r="T103" s="32"/>
      <c r="U103" s="32"/>
      <c r="V103" s="32"/>
      <c r="W103" s="32"/>
      <c r="X103" s="32"/>
      <c r="Y103" s="32"/>
      <c r="Z103" s="32"/>
      <c r="AA103" s="32"/>
    </row>
    <row r="104" spans="1:27" x14ac:dyDescent="0.25">
      <c r="A104" s="184"/>
      <c r="B104" s="25"/>
      <c r="C104" s="94"/>
      <c r="D104" s="85" t="s">
        <v>92</v>
      </c>
      <c r="E104" s="25" t="s">
        <v>64</v>
      </c>
      <c r="F104" s="86">
        <v>5.8</v>
      </c>
      <c r="G104" s="75" t="s">
        <v>40</v>
      </c>
      <c r="H104" s="75" t="s">
        <v>40</v>
      </c>
      <c r="I104" s="87">
        <v>0</v>
      </c>
      <c r="J104" s="87">
        <f t="shared" si="10"/>
        <v>0</v>
      </c>
      <c r="K104" s="31"/>
      <c r="L104" s="32"/>
      <c r="M104" s="32"/>
      <c r="N104" s="33"/>
      <c r="O104" s="32"/>
      <c r="P104" s="32"/>
      <c r="Q104" s="32"/>
      <c r="R104" s="32"/>
      <c r="S104" s="32"/>
      <c r="T104" s="32"/>
      <c r="U104" s="32"/>
      <c r="V104" s="32"/>
      <c r="W104" s="32"/>
      <c r="X104" s="32"/>
      <c r="Y104" s="32"/>
      <c r="Z104" s="32"/>
      <c r="AA104" s="32"/>
    </row>
    <row r="105" spans="1:27" x14ac:dyDescent="0.25">
      <c r="A105" s="184"/>
      <c r="B105" s="25"/>
      <c r="C105" s="94"/>
      <c r="D105" s="85" t="s">
        <v>93</v>
      </c>
      <c r="E105" s="25" t="s">
        <v>64</v>
      </c>
      <c r="F105" s="25">
        <v>3.93</v>
      </c>
      <c r="G105" s="75" t="s">
        <v>40</v>
      </c>
      <c r="H105" s="75" t="s">
        <v>40</v>
      </c>
      <c r="I105" s="87">
        <v>0</v>
      </c>
      <c r="J105" s="87">
        <f t="shared" si="10"/>
        <v>0</v>
      </c>
      <c r="K105" s="31"/>
      <c r="L105" s="32"/>
      <c r="M105" s="32"/>
      <c r="N105" s="33"/>
      <c r="O105" s="32"/>
      <c r="P105" s="32"/>
      <c r="Q105" s="32"/>
      <c r="R105" s="32"/>
      <c r="S105" s="32"/>
      <c r="T105" s="32"/>
      <c r="U105" s="32"/>
      <c r="V105" s="32"/>
      <c r="W105" s="32"/>
      <c r="X105" s="32"/>
      <c r="Y105" s="32"/>
      <c r="Z105" s="32"/>
      <c r="AA105" s="32"/>
    </row>
    <row r="106" spans="1:27" x14ac:dyDescent="0.25">
      <c r="A106" s="184"/>
      <c r="B106" s="25"/>
      <c r="C106" s="94"/>
      <c r="D106" s="85" t="s">
        <v>94</v>
      </c>
      <c r="E106" s="25" t="s">
        <v>64</v>
      </c>
      <c r="F106" s="25">
        <v>37.65</v>
      </c>
      <c r="G106" s="75" t="s">
        <v>40</v>
      </c>
      <c r="H106" s="75" t="s">
        <v>40</v>
      </c>
      <c r="I106" s="87">
        <v>0</v>
      </c>
      <c r="J106" s="87">
        <f t="shared" si="10"/>
        <v>0</v>
      </c>
      <c r="K106" s="31"/>
      <c r="L106" s="32"/>
      <c r="M106" s="32"/>
      <c r="N106" s="33"/>
      <c r="O106" s="32"/>
      <c r="P106" s="32"/>
      <c r="Q106" s="32"/>
      <c r="R106" s="32"/>
      <c r="S106" s="32"/>
      <c r="T106" s="32"/>
      <c r="U106" s="32"/>
      <c r="V106" s="32"/>
      <c r="W106" s="32"/>
      <c r="X106" s="32"/>
      <c r="Y106" s="32"/>
      <c r="Z106" s="32"/>
      <c r="AA106" s="32"/>
    </row>
    <row r="107" spans="1:27" x14ac:dyDescent="0.25">
      <c r="A107" s="184"/>
      <c r="B107" s="25"/>
      <c r="C107" s="94"/>
      <c r="D107" s="85" t="s">
        <v>95</v>
      </c>
      <c r="E107" s="25" t="s">
        <v>64</v>
      </c>
      <c r="F107" s="25">
        <v>15.53</v>
      </c>
      <c r="G107" s="75" t="s">
        <v>40</v>
      </c>
      <c r="H107" s="75" t="s">
        <v>40</v>
      </c>
      <c r="I107" s="87">
        <v>0</v>
      </c>
      <c r="J107" s="87">
        <f t="shared" si="10"/>
        <v>0</v>
      </c>
      <c r="K107" s="31"/>
      <c r="L107" s="32"/>
      <c r="M107" s="32"/>
      <c r="N107" s="33"/>
      <c r="O107" s="32"/>
      <c r="P107" s="32"/>
      <c r="Q107" s="32"/>
      <c r="R107" s="32"/>
      <c r="S107" s="32"/>
      <c r="T107" s="32"/>
      <c r="U107" s="32"/>
      <c r="V107" s="32"/>
      <c r="W107" s="32"/>
      <c r="X107" s="32"/>
      <c r="Y107" s="32"/>
      <c r="Z107" s="32"/>
      <c r="AA107" s="32"/>
    </row>
    <row r="108" spans="1:27" x14ac:dyDescent="0.25">
      <c r="A108" s="184"/>
      <c r="B108" s="25"/>
      <c r="C108" s="94"/>
      <c r="D108" s="85" t="s">
        <v>96</v>
      </c>
      <c r="E108" s="25" t="s">
        <v>64</v>
      </c>
      <c r="F108" s="86">
        <f>(12.25+8.05)</f>
        <v>20.3</v>
      </c>
      <c r="G108" s="75" t="s">
        <v>40</v>
      </c>
      <c r="H108" s="75" t="s">
        <v>40</v>
      </c>
      <c r="I108" s="87">
        <v>0</v>
      </c>
      <c r="J108" s="87">
        <f t="shared" si="10"/>
        <v>0</v>
      </c>
      <c r="K108" s="31"/>
      <c r="L108" s="32"/>
      <c r="M108" s="32"/>
      <c r="N108" s="33"/>
      <c r="O108" s="32"/>
      <c r="P108" s="32"/>
      <c r="Q108" s="32"/>
      <c r="R108" s="32"/>
      <c r="S108" s="32"/>
      <c r="T108" s="32"/>
      <c r="U108" s="32"/>
      <c r="V108" s="32"/>
      <c r="W108" s="32"/>
      <c r="X108" s="32"/>
      <c r="Y108" s="32"/>
      <c r="Z108" s="32"/>
      <c r="AA108" s="32"/>
    </row>
    <row r="109" spans="1:27" x14ac:dyDescent="0.25">
      <c r="A109" s="184"/>
      <c r="B109" s="25"/>
      <c r="C109" s="94"/>
      <c r="D109" s="88" t="s">
        <v>97</v>
      </c>
      <c r="E109" s="25" t="s">
        <v>64</v>
      </c>
      <c r="F109" s="25">
        <v>5.74</v>
      </c>
      <c r="G109" s="75" t="s">
        <v>40</v>
      </c>
      <c r="H109" s="75" t="s">
        <v>40</v>
      </c>
      <c r="I109" s="87">
        <v>0</v>
      </c>
      <c r="J109" s="87">
        <f t="shared" si="10"/>
        <v>0</v>
      </c>
      <c r="K109" s="31"/>
      <c r="L109" s="32"/>
      <c r="M109" s="32"/>
      <c r="N109" s="33"/>
      <c r="O109" s="32"/>
      <c r="P109" s="32"/>
      <c r="Q109" s="32"/>
      <c r="R109" s="32"/>
      <c r="S109" s="32"/>
      <c r="T109" s="32"/>
      <c r="U109" s="32"/>
      <c r="V109" s="32"/>
      <c r="W109" s="32"/>
      <c r="X109" s="32"/>
      <c r="Y109" s="32"/>
      <c r="Z109" s="32"/>
      <c r="AA109" s="32"/>
    </row>
    <row r="110" spans="1:27" x14ac:dyDescent="0.25">
      <c r="A110" s="184"/>
      <c r="B110" s="25"/>
      <c r="C110" s="94"/>
      <c r="D110" s="85" t="s">
        <v>98</v>
      </c>
      <c r="E110" s="25" t="s">
        <v>64</v>
      </c>
      <c r="F110" s="86">
        <v>8.58</v>
      </c>
      <c r="G110" s="75" t="s">
        <v>40</v>
      </c>
      <c r="H110" s="75" t="s">
        <v>40</v>
      </c>
      <c r="I110" s="87">
        <v>0</v>
      </c>
      <c r="J110" s="87">
        <f t="shared" si="10"/>
        <v>0</v>
      </c>
      <c r="K110" s="31"/>
      <c r="L110" s="32"/>
      <c r="M110" s="32"/>
      <c r="N110" s="33"/>
      <c r="O110" s="32"/>
      <c r="P110" s="32"/>
      <c r="Q110" s="32"/>
      <c r="R110" s="32"/>
      <c r="S110" s="32"/>
      <c r="T110" s="32"/>
      <c r="U110" s="32"/>
      <c r="V110" s="32"/>
      <c r="W110" s="32"/>
      <c r="X110" s="32"/>
      <c r="Y110" s="32"/>
      <c r="Z110" s="32"/>
      <c r="AA110" s="32"/>
    </row>
    <row r="111" spans="1:27" x14ac:dyDescent="0.25">
      <c r="A111" s="184"/>
      <c r="B111" s="25"/>
      <c r="C111" s="94"/>
      <c r="D111" s="85" t="s">
        <v>99</v>
      </c>
      <c r="E111" s="25" t="s">
        <v>64</v>
      </c>
      <c r="F111" s="25">
        <v>6.14</v>
      </c>
      <c r="G111" s="75" t="s">
        <v>40</v>
      </c>
      <c r="H111" s="75" t="s">
        <v>40</v>
      </c>
      <c r="I111" s="87">
        <v>0</v>
      </c>
      <c r="J111" s="87">
        <f t="shared" si="10"/>
        <v>0</v>
      </c>
      <c r="K111" s="31"/>
      <c r="L111" s="32"/>
      <c r="M111" s="32"/>
      <c r="N111" s="33"/>
      <c r="O111" s="32"/>
      <c r="P111" s="32"/>
      <c r="Q111" s="32"/>
      <c r="R111" s="32"/>
      <c r="S111" s="32"/>
      <c r="T111" s="32"/>
      <c r="U111" s="32"/>
      <c r="V111" s="32"/>
      <c r="W111" s="32"/>
      <c r="X111" s="32"/>
      <c r="Y111" s="32"/>
      <c r="Z111" s="32"/>
      <c r="AA111" s="32"/>
    </row>
    <row r="112" spans="1:27" x14ac:dyDescent="0.25">
      <c r="A112" s="184"/>
      <c r="B112" s="25"/>
      <c r="C112" s="94"/>
      <c r="D112" s="85" t="s">
        <v>100</v>
      </c>
      <c r="E112" s="25" t="s">
        <v>64</v>
      </c>
      <c r="F112" s="25">
        <v>4.78</v>
      </c>
      <c r="G112" s="75" t="s">
        <v>40</v>
      </c>
      <c r="H112" s="75" t="s">
        <v>40</v>
      </c>
      <c r="I112" s="87">
        <v>0</v>
      </c>
      <c r="J112" s="87">
        <f t="shared" si="10"/>
        <v>0</v>
      </c>
      <c r="K112" s="31"/>
      <c r="L112" s="32"/>
      <c r="M112" s="32"/>
      <c r="N112" s="33"/>
      <c r="O112" s="32"/>
      <c r="P112" s="32"/>
      <c r="Q112" s="32"/>
      <c r="R112" s="32"/>
      <c r="S112" s="32"/>
      <c r="T112" s="32"/>
      <c r="U112" s="32"/>
      <c r="V112" s="32"/>
      <c r="W112" s="32"/>
      <c r="X112" s="32"/>
      <c r="Y112" s="32"/>
      <c r="Z112" s="32"/>
      <c r="AA112" s="32"/>
    </row>
    <row r="113" spans="1:27" x14ac:dyDescent="0.25">
      <c r="A113" s="184"/>
      <c r="B113" s="25"/>
      <c r="C113" s="94"/>
      <c r="D113" s="85" t="s">
        <v>101</v>
      </c>
      <c r="E113" s="25" t="s">
        <v>192</v>
      </c>
      <c r="F113" s="86">
        <v>24</v>
      </c>
      <c r="G113" s="75" t="s">
        <v>40</v>
      </c>
      <c r="H113" s="75" t="s">
        <v>40</v>
      </c>
      <c r="I113" s="87">
        <v>0</v>
      </c>
      <c r="J113" s="87">
        <f t="shared" si="10"/>
        <v>0</v>
      </c>
      <c r="K113" s="100"/>
      <c r="L113" s="103"/>
      <c r="M113" s="32"/>
      <c r="N113" s="33"/>
      <c r="O113" s="32"/>
      <c r="P113" s="32"/>
      <c r="Q113" s="32"/>
      <c r="R113" s="32"/>
      <c r="S113" s="32"/>
      <c r="T113" s="32"/>
      <c r="U113" s="32"/>
      <c r="V113" s="32"/>
      <c r="W113" s="32"/>
      <c r="X113" s="32"/>
      <c r="Y113" s="32"/>
      <c r="Z113" s="32"/>
      <c r="AA113" s="32"/>
    </row>
    <row r="114" spans="1:27" x14ac:dyDescent="0.25">
      <c r="A114" s="184"/>
      <c r="B114" s="25"/>
      <c r="C114" s="94"/>
      <c r="D114" s="85" t="s">
        <v>102</v>
      </c>
      <c r="E114" s="25" t="s">
        <v>192</v>
      </c>
      <c r="F114" s="86">
        <v>23</v>
      </c>
      <c r="G114" s="75" t="s">
        <v>40</v>
      </c>
      <c r="H114" s="75" t="s">
        <v>40</v>
      </c>
      <c r="I114" s="87">
        <v>0</v>
      </c>
      <c r="J114" s="87">
        <f t="shared" si="10"/>
        <v>0</v>
      </c>
      <c r="K114" s="100"/>
      <c r="L114" s="32"/>
      <c r="M114" s="32"/>
      <c r="N114" s="33"/>
      <c r="O114" s="32"/>
      <c r="P114" s="32"/>
      <c r="Q114" s="32"/>
      <c r="R114" s="32"/>
      <c r="S114" s="32"/>
      <c r="T114" s="32"/>
      <c r="U114" s="32"/>
      <c r="V114" s="32"/>
      <c r="W114" s="32"/>
      <c r="X114" s="32"/>
      <c r="Y114" s="32"/>
      <c r="Z114" s="32"/>
      <c r="AA114" s="32"/>
    </row>
    <row r="115" spans="1:27" x14ac:dyDescent="0.25">
      <c r="A115" s="184"/>
      <c r="B115" s="25"/>
      <c r="C115" s="94"/>
      <c r="D115" s="85" t="s">
        <v>103</v>
      </c>
      <c r="E115" s="25" t="s">
        <v>192</v>
      </c>
      <c r="F115" s="86">
        <v>39</v>
      </c>
      <c r="G115" s="75" t="s">
        <v>40</v>
      </c>
      <c r="H115" s="75" t="s">
        <v>40</v>
      </c>
      <c r="I115" s="87">
        <v>0</v>
      </c>
      <c r="J115" s="87">
        <f t="shared" si="10"/>
        <v>0</v>
      </c>
      <c r="K115" s="100"/>
      <c r="L115" s="32"/>
      <c r="M115" s="32"/>
      <c r="N115" s="33"/>
      <c r="O115" s="32"/>
      <c r="P115" s="32"/>
      <c r="Q115" s="32"/>
      <c r="R115" s="32"/>
      <c r="S115" s="32"/>
      <c r="T115" s="32"/>
      <c r="U115" s="32"/>
      <c r="V115" s="32"/>
      <c r="W115" s="32"/>
      <c r="X115" s="32"/>
      <c r="Y115" s="32"/>
      <c r="Z115" s="32"/>
      <c r="AA115" s="32"/>
    </row>
    <row r="116" spans="1:27" x14ac:dyDescent="0.25">
      <c r="A116" s="184"/>
      <c r="B116" s="89" t="s">
        <v>104</v>
      </c>
      <c r="C116" s="212" t="s">
        <v>105</v>
      </c>
      <c r="D116" s="184"/>
      <c r="E116" s="184"/>
      <c r="F116" s="184"/>
      <c r="G116" s="184"/>
      <c r="H116" s="184"/>
      <c r="I116" s="184"/>
      <c r="J116" s="184"/>
      <c r="K116" s="100"/>
      <c r="L116" s="32"/>
      <c r="M116" s="32"/>
      <c r="N116" s="33"/>
      <c r="O116" s="32"/>
      <c r="P116" s="32"/>
      <c r="Q116" s="32"/>
      <c r="R116" s="32"/>
      <c r="S116" s="32"/>
      <c r="T116" s="32"/>
      <c r="U116" s="32"/>
      <c r="V116" s="32"/>
      <c r="W116" s="32"/>
      <c r="X116" s="32"/>
      <c r="Y116" s="32"/>
      <c r="Z116" s="32"/>
      <c r="AA116" s="32"/>
    </row>
    <row r="117" spans="1:27" x14ac:dyDescent="0.25">
      <c r="A117" s="184"/>
      <c r="B117" s="190"/>
      <c r="C117" s="190"/>
      <c r="D117" s="190"/>
      <c r="E117" s="190"/>
      <c r="F117" s="190"/>
      <c r="G117" s="190"/>
      <c r="H117" s="190"/>
      <c r="I117" s="28" t="s">
        <v>31</v>
      </c>
      <c r="J117" s="27">
        <f>SUM(J102:J110)</f>
        <v>0</v>
      </c>
      <c r="K117" s="31"/>
      <c r="L117" s="32"/>
      <c r="M117" s="32"/>
      <c r="N117" s="33"/>
      <c r="O117" s="32"/>
      <c r="P117" s="32"/>
      <c r="Q117" s="32"/>
      <c r="R117" s="32"/>
      <c r="S117" s="32"/>
      <c r="T117" s="32"/>
      <c r="U117" s="32"/>
      <c r="V117" s="32"/>
      <c r="W117" s="32"/>
      <c r="X117" s="32"/>
      <c r="Y117" s="32"/>
      <c r="Z117" s="32"/>
      <c r="AA117" s="32"/>
    </row>
    <row r="118" spans="1:27" x14ac:dyDescent="0.25">
      <c r="A118" s="188"/>
      <c r="B118" s="184"/>
      <c r="C118" s="184"/>
      <c r="D118" s="184"/>
      <c r="E118" s="184"/>
      <c r="F118" s="184"/>
      <c r="G118" s="184"/>
      <c r="H118" s="184"/>
      <c r="I118" s="184"/>
      <c r="J118" s="184"/>
      <c r="K118" s="31"/>
      <c r="L118" s="32"/>
      <c r="M118" s="32"/>
      <c r="N118" s="33"/>
      <c r="O118" s="32"/>
      <c r="P118" s="32"/>
      <c r="Q118" s="32"/>
      <c r="R118" s="32"/>
      <c r="S118" s="32"/>
      <c r="T118" s="32"/>
      <c r="U118" s="32"/>
      <c r="V118" s="32"/>
      <c r="W118" s="32"/>
      <c r="X118" s="32"/>
      <c r="Y118" s="32"/>
      <c r="Z118" s="32"/>
      <c r="AA118" s="32"/>
    </row>
    <row r="119" spans="1:27" x14ac:dyDescent="0.25">
      <c r="A119" s="53" t="s">
        <v>10</v>
      </c>
      <c r="B119" s="53" t="s">
        <v>11</v>
      </c>
      <c r="C119" s="29" t="s">
        <v>12</v>
      </c>
      <c r="D119" s="29" t="s">
        <v>13</v>
      </c>
      <c r="E119" s="53" t="s">
        <v>14</v>
      </c>
      <c r="F119" s="53" t="s">
        <v>15</v>
      </c>
      <c r="G119" s="53" t="s">
        <v>185</v>
      </c>
      <c r="H119" s="53" t="s">
        <v>185</v>
      </c>
      <c r="I119" s="53" t="s">
        <v>18</v>
      </c>
      <c r="J119" s="53" t="s">
        <v>19</v>
      </c>
      <c r="K119" s="31"/>
      <c r="L119" s="45"/>
      <c r="M119" s="45" t="s">
        <v>67</v>
      </c>
      <c r="N119" s="33"/>
      <c r="O119" s="32"/>
      <c r="P119" s="32"/>
      <c r="Q119" s="32"/>
      <c r="R119" s="32"/>
      <c r="S119" s="32"/>
      <c r="T119" s="32"/>
      <c r="U119" s="32"/>
      <c r="V119" s="32"/>
      <c r="W119" s="32"/>
      <c r="X119" s="32"/>
      <c r="Y119" s="32"/>
      <c r="Z119" s="32"/>
      <c r="AA119" s="32"/>
    </row>
    <row r="120" spans="1:27" x14ac:dyDescent="0.25">
      <c r="A120" s="189" t="s">
        <v>106</v>
      </c>
      <c r="B120" s="54" t="s">
        <v>220</v>
      </c>
      <c r="C120" s="192" t="s">
        <v>68</v>
      </c>
      <c r="D120" s="192"/>
      <c r="E120" s="192"/>
      <c r="F120" s="192"/>
      <c r="G120" s="192"/>
      <c r="H120" s="192"/>
      <c r="I120" s="192"/>
      <c r="J120" s="192"/>
      <c r="K120" s="31"/>
      <c r="L120" s="32"/>
      <c r="M120" s="32"/>
      <c r="N120" s="33"/>
      <c r="O120" s="32"/>
      <c r="P120" s="32"/>
      <c r="Q120" s="32"/>
      <c r="R120" s="32"/>
      <c r="S120" s="32"/>
      <c r="T120" s="32"/>
      <c r="U120" s="32"/>
      <c r="V120" s="32"/>
      <c r="W120" s="32"/>
      <c r="X120" s="32"/>
      <c r="Y120" s="32"/>
      <c r="Z120" s="32"/>
      <c r="AA120" s="32"/>
    </row>
    <row r="121" spans="1:27" x14ac:dyDescent="0.25">
      <c r="A121" s="184"/>
      <c r="B121" s="71"/>
      <c r="C121" s="73"/>
      <c r="D121" s="73" t="s">
        <v>107</v>
      </c>
      <c r="E121" s="74" t="s">
        <v>22</v>
      </c>
      <c r="F121" s="75">
        <v>77.05</v>
      </c>
      <c r="G121" s="75" t="s">
        <v>40</v>
      </c>
      <c r="H121" s="75" t="s">
        <v>40</v>
      </c>
      <c r="I121" s="76">
        <v>13000</v>
      </c>
      <c r="J121" s="76">
        <f t="shared" ref="J121:J122" si="11">F121*I121</f>
        <v>1001650</v>
      </c>
      <c r="K121" s="31"/>
      <c r="L121" s="50"/>
      <c r="M121" s="32"/>
      <c r="N121" s="33"/>
      <c r="O121" s="32"/>
      <c r="P121" s="32"/>
      <c r="Q121" s="32"/>
      <c r="R121" s="32"/>
      <c r="S121" s="32"/>
      <c r="T121" s="32"/>
      <c r="U121" s="32"/>
      <c r="V121" s="32"/>
      <c r="W121" s="32"/>
      <c r="X121" s="32"/>
      <c r="Y121" s="32"/>
      <c r="Z121" s="32"/>
      <c r="AA121" s="32"/>
    </row>
    <row r="122" spans="1:27" x14ac:dyDescent="0.25">
      <c r="A122" s="184"/>
      <c r="B122" s="71"/>
      <c r="C122" s="73"/>
      <c r="D122" s="73" t="s">
        <v>108</v>
      </c>
      <c r="E122" s="74" t="s">
        <v>22</v>
      </c>
      <c r="F122" s="75">
        <v>27.11</v>
      </c>
      <c r="G122" s="75" t="s">
        <v>40</v>
      </c>
      <c r="H122" s="75" t="s">
        <v>40</v>
      </c>
      <c r="I122" s="76">
        <v>26000</v>
      </c>
      <c r="J122" s="76">
        <f t="shared" si="11"/>
        <v>704860</v>
      </c>
      <c r="K122" s="32">
        <v>25900</v>
      </c>
      <c r="L122" s="32"/>
      <c r="M122" s="32"/>
      <c r="N122" s="33"/>
      <c r="O122" s="32"/>
      <c r="P122" s="32"/>
      <c r="Q122" s="32"/>
      <c r="R122" s="32"/>
      <c r="S122" s="32"/>
      <c r="T122" s="32"/>
      <c r="U122" s="32"/>
      <c r="V122" s="32"/>
      <c r="W122" s="32"/>
      <c r="X122" s="32"/>
      <c r="Y122" s="32"/>
      <c r="Z122" s="32"/>
      <c r="AA122" s="32"/>
    </row>
    <row r="123" spans="1:27" x14ac:dyDescent="0.25">
      <c r="A123" s="184"/>
      <c r="B123" s="190"/>
      <c r="C123" s="190"/>
      <c r="D123" s="190"/>
      <c r="E123" s="190"/>
      <c r="F123" s="190"/>
      <c r="G123" s="190"/>
      <c r="H123" s="190"/>
      <c r="I123" s="79" t="s">
        <v>31</v>
      </c>
      <c r="J123" s="76">
        <f>+J121+J122</f>
        <v>1706510</v>
      </c>
      <c r="K123" s="31"/>
      <c r="L123" s="32"/>
      <c r="M123" s="32"/>
      <c r="N123" s="33"/>
      <c r="O123" s="32"/>
      <c r="P123" s="32"/>
      <c r="Q123" s="32"/>
      <c r="R123" s="32"/>
      <c r="S123" s="32"/>
      <c r="T123" s="32"/>
      <c r="U123" s="32"/>
      <c r="V123" s="32"/>
      <c r="W123" s="32"/>
      <c r="X123" s="32"/>
      <c r="Y123" s="32"/>
      <c r="Z123" s="32"/>
      <c r="AA123" s="32"/>
    </row>
    <row r="124" spans="1:27" x14ac:dyDescent="0.25">
      <c r="A124" s="188"/>
      <c r="B124" s="184"/>
      <c r="C124" s="184"/>
      <c r="D124" s="184"/>
      <c r="E124" s="184"/>
      <c r="F124" s="184"/>
      <c r="G124" s="184"/>
      <c r="H124" s="184"/>
      <c r="I124" s="184"/>
      <c r="J124" s="184"/>
      <c r="K124" s="31"/>
      <c r="L124" s="32"/>
      <c r="M124" s="32"/>
      <c r="N124" s="33"/>
      <c r="O124" s="32"/>
      <c r="P124" s="32"/>
      <c r="Q124" s="32"/>
      <c r="R124" s="32"/>
      <c r="S124" s="32"/>
      <c r="T124" s="32"/>
      <c r="U124" s="32"/>
      <c r="V124" s="32"/>
      <c r="W124" s="32"/>
      <c r="X124" s="32"/>
      <c r="Y124" s="32"/>
      <c r="Z124" s="32"/>
      <c r="AA124" s="32"/>
    </row>
    <row r="125" spans="1:27" x14ac:dyDescent="0.25">
      <c r="A125" s="53" t="s">
        <v>10</v>
      </c>
      <c r="B125" s="53" t="s">
        <v>11</v>
      </c>
      <c r="C125" s="29" t="s">
        <v>12</v>
      </c>
      <c r="D125" s="29" t="s">
        <v>13</v>
      </c>
      <c r="E125" s="53" t="s">
        <v>14</v>
      </c>
      <c r="F125" s="53" t="s">
        <v>15</v>
      </c>
      <c r="G125" s="53" t="s">
        <v>185</v>
      </c>
      <c r="H125" s="53" t="s">
        <v>185</v>
      </c>
      <c r="I125" s="53" t="s">
        <v>18</v>
      </c>
      <c r="J125" s="53" t="s">
        <v>19</v>
      </c>
      <c r="K125" s="31"/>
      <c r="L125" s="32"/>
      <c r="M125" s="32"/>
      <c r="N125" s="33"/>
      <c r="O125" s="32"/>
      <c r="P125" s="32"/>
      <c r="Q125" s="32"/>
      <c r="R125" s="32"/>
      <c r="S125" s="32"/>
      <c r="T125" s="32"/>
      <c r="U125" s="32"/>
      <c r="V125" s="32"/>
      <c r="W125" s="32"/>
      <c r="X125" s="32"/>
      <c r="Y125" s="32"/>
      <c r="Z125" s="32"/>
      <c r="AA125" s="32"/>
    </row>
    <row r="126" spans="1:27" x14ac:dyDescent="0.25">
      <c r="A126" s="189" t="s">
        <v>234</v>
      </c>
      <c r="B126" s="54" t="s">
        <v>221</v>
      </c>
      <c r="C126" s="191" t="s">
        <v>72</v>
      </c>
      <c r="D126" s="191"/>
      <c r="E126" s="191"/>
      <c r="F126" s="191"/>
      <c r="G126" s="191"/>
      <c r="H126" s="191"/>
      <c r="I126" s="191"/>
      <c r="J126" s="191"/>
      <c r="K126" s="31"/>
      <c r="L126" s="45"/>
      <c r="M126" s="45" t="s">
        <v>109</v>
      </c>
      <c r="N126" s="33" t="s">
        <v>110</v>
      </c>
      <c r="O126" s="32"/>
      <c r="P126" s="32"/>
      <c r="Q126" s="32"/>
      <c r="R126" s="32"/>
      <c r="S126" s="32"/>
      <c r="T126" s="32"/>
      <c r="U126" s="32"/>
      <c r="V126" s="32"/>
      <c r="W126" s="32"/>
      <c r="X126" s="32"/>
      <c r="Y126" s="32"/>
      <c r="Z126" s="32"/>
      <c r="AA126" s="32"/>
    </row>
    <row r="127" spans="1:27" x14ac:dyDescent="0.25">
      <c r="A127" s="184"/>
      <c r="B127" s="23"/>
      <c r="C127" s="96"/>
      <c r="D127" s="29" t="s">
        <v>111</v>
      </c>
      <c r="E127" s="23" t="s">
        <v>64</v>
      </c>
      <c r="F127" s="24">
        <v>1</v>
      </c>
      <c r="G127" s="24">
        <f>2.8*1.8</f>
        <v>5.04</v>
      </c>
      <c r="H127" s="23" t="s">
        <v>40</v>
      </c>
      <c r="I127" s="27">
        <v>225000</v>
      </c>
      <c r="J127" s="27">
        <f t="shared" ref="J127:J135" si="12">I127*G127*F127</f>
        <v>1134000</v>
      </c>
      <c r="K127" s="31"/>
      <c r="L127" s="32"/>
      <c r="M127" s="32"/>
      <c r="N127" s="33"/>
      <c r="O127" s="32"/>
      <c r="P127" s="32"/>
      <c r="Q127" s="32"/>
      <c r="R127" s="32"/>
      <c r="S127" s="32"/>
      <c r="T127" s="32"/>
      <c r="U127" s="32"/>
      <c r="V127" s="32"/>
      <c r="W127" s="32"/>
      <c r="X127" s="32"/>
      <c r="Y127" s="32"/>
      <c r="Z127" s="32"/>
      <c r="AA127" s="32"/>
    </row>
    <row r="128" spans="1:27" x14ac:dyDescent="0.25">
      <c r="A128" s="184"/>
      <c r="B128" s="23"/>
      <c r="C128" s="96"/>
      <c r="D128" s="29" t="s">
        <v>112</v>
      </c>
      <c r="E128" s="23" t="s">
        <v>64</v>
      </c>
      <c r="F128" s="24">
        <v>1</v>
      </c>
      <c r="G128" s="24">
        <f>3.25*1.8</f>
        <v>5.8500000000000005</v>
      </c>
      <c r="H128" s="23" t="s">
        <v>40</v>
      </c>
      <c r="I128" s="27">
        <v>225000</v>
      </c>
      <c r="J128" s="27">
        <f t="shared" si="12"/>
        <v>1316250.0000000002</v>
      </c>
      <c r="K128" s="31"/>
      <c r="L128" s="32"/>
      <c r="M128" s="32"/>
      <c r="N128" s="33"/>
      <c r="O128" s="32"/>
      <c r="P128" s="32"/>
      <c r="Q128" s="32"/>
      <c r="R128" s="32"/>
      <c r="S128" s="32"/>
      <c r="T128" s="32"/>
      <c r="U128" s="32"/>
      <c r="V128" s="32"/>
      <c r="W128" s="32"/>
      <c r="X128" s="32"/>
      <c r="Y128" s="32"/>
      <c r="Z128" s="32"/>
      <c r="AA128" s="32"/>
    </row>
    <row r="129" spans="1:27" x14ac:dyDescent="0.25">
      <c r="A129" s="184"/>
      <c r="B129" s="23"/>
      <c r="C129" s="96"/>
      <c r="D129" s="29" t="s">
        <v>113</v>
      </c>
      <c r="E129" s="23" t="s">
        <v>64</v>
      </c>
      <c r="F129" s="24">
        <v>1</v>
      </c>
      <c r="G129" s="24">
        <f>1.35*1.8</f>
        <v>2.4300000000000002</v>
      </c>
      <c r="H129" s="23" t="s">
        <v>40</v>
      </c>
      <c r="I129" s="27">
        <v>225000</v>
      </c>
      <c r="J129" s="27">
        <f t="shared" si="12"/>
        <v>546750</v>
      </c>
      <c r="K129" s="31"/>
      <c r="L129" s="32"/>
      <c r="M129" s="32"/>
      <c r="N129" s="33"/>
      <c r="O129" s="32"/>
      <c r="P129" s="32"/>
      <c r="Q129" s="32"/>
      <c r="R129" s="32"/>
      <c r="S129" s="32"/>
      <c r="T129" s="32"/>
      <c r="U129" s="32"/>
      <c r="V129" s="32"/>
      <c r="W129" s="32"/>
      <c r="X129" s="32"/>
      <c r="Y129" s="32"/>
      <c r="Z129" s="32"/>
      <c r="AA129" s="32"/>
    </row>
    <row r="130" spans="1:27" x14ac:dyDescent="0.25">
      <c r="A130" s="184"/>
      <c r="B130" s="23"/>
      <c r="C130" s="96"/>
      <c r="D130" s="29" t="s">
        <v>114</v>
      </c>
      <c r="E130" s="23" t="s">
        <v>64</v>
      </c>
      <c r="F130" s="24">
        <v>1</v>
      </c>
      <c r="G130" s="24">
        <f>1.5*1.8</f>
        <v>2.7</v>
      </c>
      <c r="H130" s="23" t="s">
        <v>40</v>
      </c>
      <c r="I130" s="27">
        <v>225000</v>
      </c>
      <c r="J130" s="27">
        <f t="shared" si="12"/>
        <v>607500</v>
      </c>
      <c r="K130" s="31"/>
      <c r="L130" s="32"/>
      <c r="M130" s="32"/>
      <c r="N130" s="33"/>
      <c r="O130" s="32"/>
      <c r="P130" s="32"/>
      <c r="Q130" s="32"/>
      <c r="R130" s="32"/>
      <c r="S130" s="32"/>
      <c r="T130" s="32"/>
      <c r="U130" s="32"/>
      <c r="V130" s="32"/>
      <c r="W130" s="32"/>
      <c r="X130" s="32"/>
      <c r="Y130" s="32"/>
      <c r="Z130" s="32"/>
      <c r="AA130" s="32"/>
    </row>
    <row r="131" spans="1:27" x14ac:dyDescent="0.25">
      <c r="A131" s="184"/>
      <c r="B131" s="23"/>
      <c r="C131" s="96"/>
      <c r="D131" s="29" t="s">
        <v>115</v>
      </c>
      <c r="E131" s="23" t="s">
        <v>64</v>
      </c>
      <c r="F131" s="24">
        <v>1</v>
      </c>
      <c r="G131" s="24">
        <f>2.45*1.8</f>
        <v>4.41</v>
      </c>
      <c r="H131" s="23" t="s">
        <v>40</v>
      </c>
      <c r="I131" s="27">
        <v>225000</v>
      </c>
      <c r="J131" s="27">
        <f t="shared" si="12"/>
        <v>992250</v>
      </c>
      <c r="K131" s="31"/>
      <c r="L131" s="32"/>
      <c r="M131" s="32"/>
      <c r="N131" s="33"/>
      <c r="O131" s="32"/>
      <c r="P131" s="32"/>
      <c r="Q131" s="32"/>
      <c r="R131" s="32"/>
      <c r="S131" s="32"/>
      <c r="T131" s="32"/>
      <c r="U131" s="32"/>
      <c r="V131" s="32"/>
      <c r="W131" s="32"/>
      <c r="X131" s="32"/>
      <c r="Y131" s="32"/>
      <c r="Z131" s="32"/>
      <c r="AA131" s="32"/>
    </row>
    <row r="132" spans="1:27" x14ac:dyDescent="0.25">
      <c r="A132" s="184"/>
      <c r="B132" s="23"/>
      <c r="C132" s="96"/>
      <c r="D132" s="29" t="s">
        <v>116</v>
      </c>
      <c r="E132" s="23" t="s">
        <v>64</v>
      </c>
      <c r="F132" s="24">
        <v>1</v>
      </c>
      <c r="G132" s="24">
        <f>2.1*1</f>
        <v>2.1</v>
      </c>
      <c r="H132" s="23" t="s">
        <v>40</v>
      </c>
      <c r="I132" s="27">
        <v>200000</v>
      </c>
      <c r="J132" s="27">
        <f t="shared" si="12"/>
        <v>420000</v>
      </c>
      <c r="K132" s="31">
        <v>195000</v>
      </c>
      <c r="L132" s="32"/>
      <c r="M132" s="32"/>
      <c r="N132" s="33"/>
      <c r="O132" s="32"/>
      <c r="P132" s="32"/>
      <c r="Q132" s="32"/>
      <c r="R132" s="32"/>
      <c r="S132" s="32"/>
      <c r="T132" s="32"/>
      <c r="U132" s="32"/>
      <c r="V132" s="32"/>
      <c r="W132" s="32"/>
      <c r="X132" s="32"/>
      <c r="Y132" s="32"/>
      <c r="Z132" s="32"/>
      <c r="AA132" s="32"/>
    </row>
    <row r="133" spans="1:27" x14ac:dyDescent="0.25">
      <c r="A133" s="184"/>
      <c r="B133" s="23"/>
      <c r="C133" s="96"/>
      <c r="D133" s="29" t="s">
        <v>117</v>
      </c>
      <c r="E133" s="23" t="s">
        <v>64</v>
      </c>
      <c r="F133" s="24">
        <v>1</v>
      </c>
      <c r="G133" s="24">
        <f>4*1.8</f>
        <v>7.2</v>
      </c>
      <c r="H133" s="23" t="s">
        <v>40</v>
      </c>
      <c r="I133" s="27">
        <v>200000</v>
      </c>
      <c r="J133" s="27">
        <f t="shared" si="12"/>
        <v>1440000</v>
      </c>
      <c r="K133" s="31">
        <v>195000</v>
      </c>
      <c r="L133" s="32"/>
      <c r="M133" s="32"/>
      <c r="N133" s="33"/>
      <c r="O133" s="32"/>
      <c r="P133" s="32"/>
      <c r="Q133" s="32"/>
      <c r="R133" s="32"/>
      <c r="S133" s="32"/>
      <c r="T133" s="32"/>
      <c r="U133" s="32"/>
      <c r="V133" s="32"/>
      <c r="W133" s="32"/>
      <c r="X133" s="32"/>
      <c r="Y133" s="32"/>
      <c r="Z133" s="32"/>
      <c r="AA133" s="32"/>
    </row>
    <row r="134" spans="1:27" x14ac:dyDescent="0.25">
      <c r="A134" s="184"/>
      <c r="B134" s="23"/>
      <c r="C134" s="96"/>
      <c r="D134" s="29" t="s">
        <v>118</v>
      </c>
      <c r="E134" s="23" t="s">
        <v>64</v>
      </c>
      <c r="F134" s="24">
        <v>2</v>
      </c>
      <c r="G134" s="24">
        <f>0.7*1.8</f>
        <v>1.26</v>
      </c>
      <c r="H134" s="23" t="s">
        <v>40</v>
      </c>
      <c r="I134" s="27">
        <v>225000</v>
      </c>
      <c r="J134" s="27">
        <f t="shared" si="12"/>
        <v>567000</v>
      </c>
      <c r="K134" s="31"/>
      <c r="L134" s="32"/>
      <c r="M134" s="32"/>
      <c r="N134" s="33"/>
      <c r="O134" s="32"/>
      <c r="P134" s="32"/>
      <c r="Q134" s="32"/>
      <c r="R134" s="32"/>
      <c r="S134" s="32"/>
      <c r="T134" s="32"/>
      <c r="U134" s="32"/>
      <c r="V134" s="32"/>
      <c r="W134" s="32"/>
      <c r="X134" s="32"/>
      <c r="Y134" s="32"/>
      <c r="Z134" s="32"/>
      <c r="AA134" s="32"/>
    </row>
    <row r="135" spans="1:27" x14ac:dyDescent="0.25">
      <c r="A135" s="184"/>
      <c r="B135" s="23"/>
      <c r="C135" s="96"/>
      <c r="D135" s="29" t="s">
        <v>119</v>
      </c>
      <c r="E135" s="23" t="s">
        <v>64</v>
      </c>
      <c r="F135" s="24">
        <v>1</v>
      </c>
      <c r="G135" s="24">
        <v>1</v>
      </c>
      <c r="H135" s="23" t="s">
        <v>40</v>
      </c>
      <c r="I135" s="27">
        <v>200000</v>
      </c>
      <c r="J135" s="27">
        <f t="shared" si="12"/>
        <v>200000</v>
      </c>
      <c r="K135" s="31"/>
      <c r="L135" s="32"/>
      <c r="M135" s="32"/>
      <c r="N135" s="33"/>
      <c r="O135" s="32"/>
      <c r="P135" s="32"/>
      <c r="Q135" s="32"/>
      <c r="R135" s="32"/>
      <c r="S135" s="32"/>
      <c r="T135" s="32"/>
      <c r="U135" s="32"/>
      <c r="V135" s="32"/>
      <c r="W135" s="32"/>
      <c r="X135" s="32"/>
      <c r="Y135" s="32"/>
      <c r="Z135" s="32"/>
      <c r="AA135" s="32"/>
    </row>
    <row r="136" spans="1:27" x14ac:dyDescent="0.25">
      <c r="A136" s="184"/>
      <c r="B136" s="54" t="s">
        <v>222</v>
      </c>
      <c r="C136" s="191" t="s">
        <v>120</v>
      </c>
      <c r="D136" s="191"/>
      <c r="E136" s="191"/>
      <c r="F136" s="191"/>
      <c r="G136" s="191"/>
      <c r="H136" s="191"/>
      <c r="I136" s="191"/>
      <c r="J136" s="191"/>
      <c r="K136" s="31"/>
      <c r="L136" s="32"/>
      <c r="M136" s="32"/>
      <c r="N136" s="33"/>
      <c r="O136" s="32"/>
      <c r="P136" s="32"/>
      <c r="Q136" s="32"/>
      <c r="R136" s="32"/>
      <c r="S136" s="32"/>
      <c r="T136" s="32"/>
      <c r="U136" s="32"/>
      <c r="V136" s="32"/>
      <c r="W136" s="32"/>
      <c r="X136" s="32"/>
      <c r="Y136" s="32"/>
      <c r="Z136" s="32"/>
      <c r="AA136" s="32"/>
    </row>
    <row r="137" spans="1:27" x14ac:dyDescent="0.25">
      <c r="A137" s="184"/>
      <c r="B137" s="23"/>
      <c r="C137" s="96"/>
      <c r="D137" s="29" t="s">
        <v>121</v>
      </c>
      <c r="E137" s="23" t="s">
        <v>64</v>
      </c>
      <c r="F137" s="24">
        <v>1</v>
      </c>
      <c r="G137" s="24">
        <f>2.8*2.3</f>
        <v>6.4399999999999995</v>
      </c>
      <c r="H137" s="23" t="s">
        <v>40</v>
      </c>
      <c r="I137" s="27">
        <v>225000</v>
      </c>
      <c r="J137" s="27">
        <f t="shared" ref="J137:J147" si="13">I137*G137*F137</f>
        <v>1449000</v>
      </c>
      <c r="K137" s="31"/>
      <c r="L137" s="32"/>
      <c r="M137" s="32"/>
      <c r="N137" s="33"/>
      <c r="O137" s="32"/>
      <c r="P137" s="32"/>
      <c r="Q137" s="32"/>
      <c r="R137" s="32"/>
      <c r="S137" s="32"/>
      <c r="T137" s="32"/>
      <c r="U137" s="32"/>
      <c r="V137" s="32"/>
      <c r="W137" s="32"/>
      <c r="X137" s="32"/>
      <c r="Y137" s="32"/>
      <c r="Z137" s="32"/>
      <c r="AA137" s="32"/>
    </row>
    <row r="138" spans="1:27" x14ac:dyDescent="0.25">
      <c r="A138" s="184"/>
      <c r="B138" s="23"/>
      <c r="C138" s="96"/>
      <c r="D138" s="29" t="s">
        <v>122</v>
      </c>
      <c r="E138" s="23" t="s">
        <v>64</v>
      </c>
      <c r="F138" s="24">
        <v>1</v>
      </c>
      <c r="G138" s="24">
        <f>3*1.7</f>
        <v>5.0999999999999996</v>
      </c>
      <c r="H138" s="23" t="s">
        <v>40</v>
      </c>
      <c r="I138" s="27">
        <v>225000</v>
      </c>
      <c r="J138" s="27">
        <f t="shared" si="13"/>
        <v>1147500</v>
      </c>
      <c r="K138" s="31"/>
      <c r="L138" s="32"/>
      <c r="M138" s="32"/>
      <c r="N138" s="33"/>
      <c r="O138" s="32"/>
      <c r="P138" s="32"/>
      <c r="Q138" s="32"/>
      <c r="R138" s="32"/>
      <c r="S138" s="32"/>
      <c r="T138" s="32"/>
      <c r="U138" s="32"/>
      <c r="V138" s="32"/>
      <c r="W138" s="32"/>
      <c r="X138" s="32"/>
      <c r="Y138" s="32"/>
      <c r="Z138" s="32"/>
      <c r="AA138" s="32"/>
    </row>
    <row r="139" spans="1:27" x14ac:dyDescent="0.25">
      <c r="A139" s="184"/>
      <c r="B139" s="23"/>
      <c r="C139" s="96"/>
      <c r="D139" s="29" t="s">
        <v>123</v>
      </c>
      <c r="E139" s="23" t="s">
        <v>64</v>
      </c>
      <c r="F139" s="24">
        <v>1</v>
      </c>
      <c r="G139" s="24">
        <f>0.8*1.85</f>
        <v>1.4800000000000002</v>
      </c>
      <c r="H139" s="23" t="s">
        <v>40</v>
      </c>
      <c r="I139" s="27">
        <v>225000</v>
      </c>
      <c r="J139" s="27">
        <f t="shared" si="13"/>
        <v>333000.00000000006</v>
      </c>
      <c r="K139" s="31"/>
      <c r="L139" s="32"/>
      <c r="M139" s="32"/>
      <c r="N139" s="33"/>
      <c r="O139" s="32"/>
      <c r="P139" s="32"/>
      <c r="Q139" s="32"/>
      <c r="R139" s="32"/>
      <c r="S139" s="32"/>
      <c r="T139" s="32"/>
      <c r="U139" s="32"/>
      <c r="V139" s="32"/>
      <c r="W139" s="32"/>
      <c r="X139" s="32"/>
      <c r="Y139" s="32"/>
      <c r="Z139" s="32"/>
      <c r="AA139" s="32"/>
    </row>
    <row r="140" spans="1:27" x14ac:dyDescent="0.25">
      <c r="A140" s="184"/>
      <c r="B140" s="23"/>
      <c r="C140" s="96"/>
      <c r="D140" s="29" t="s">
        <v>124</v>
      </c>
      <c r="E140" s="23" t="s">
        <v>64</v>
      </c>
      <c r="F140" s="24">
        <v>1</v>
      </c>
      <c r="G140" s="24">
        <v>1</v>
      </c>
      <c r="H140" s="23" t="s">
        <v>40</v>
      </c>
      <c r="I140" s="27">
        <v>200000</v>
      </c>
      <c r="J140" s="27">
        <f t="shared" si="13"/>
        <v>200000</v>
      </c>
      <c r="K140" s="31"/>
      <c r="L140" s="32"/>
      <c r="M140" s="32"/>
      <c r="N140" s="33"/>
      <c r="O140" s="32"/>
      <c r="P140" s="32"/>
      <c r="Q140" s="32"/>
      <c r="R140" s="32"/>
      <c r="S140" s="32"/>
      <c r="T140" s="32"/>
      <c r="U140" s="32"/>
      <c r="V140" s="32"/>
      <c r="W140" s="32"/>
      <c r="X140" s="32"/>
      <c r="Y140" s="32"/>
      <c r="Z140" s="32"/>
      <c r="AA140" s="32"/>
    </row>
    <row r="141" spans="1:27" x14ac:dyDescent="0.25">
      <c r="A141" s="184"/>
      <c r="B141" s="23"/>
      <c r="C141" s="96"/>
      <c r="D141" s="29" t="s">
        <v>125</v>
      </c>
      <c r="E141" s="23" t="s">
        <v>64</v>
      </c>
      <c r="F141" s="24">
        <v>1</v>
      </c>
      <c r="G141" s="24">
        <f>2.45*1.3</f>
        <v>3.1850000000000005</v>
      </c>
      <c r="H141" s="23" t="s">
        <v>40</v>
      </c>
      <c r="I141" s="27">
        <v>225000</v>
      </c>
      <c r="J141" s="27">
        <f t="shared" si="13"/>
        <v>716625.00000000012</v>
      </c>
      <c r="K141" s="31"/>
      <c r="L141" s="32"/>
      <c r="M141" s="32"/>
      <c r="N141" s="33"/>
      <c r="O141" s="32"/>
      <c r="P141" s="32"/>
      <c r="Q141" s="32"/>
      <c r="R141" s="32"/>
      <c r="S141" s="32"/>
      <c r="T141" s="32"/>
      <c r="U141" s="32"/>
      <c r="V141" s="32"/>
      <c r="W141" s="32"/>
      <c r="X141" s="32"/>
      <c r="Y141" s="32"/>
      <c r="Z141" s="32"/>
      <c r="AA141" s="32"/>
    </row>
    <row r="142" spans="1:27" x14ac:dyDescent="0.25">
      <c r="A142" s="184"/>
      <c r="B142" s="23"/>
      <c r="C142" s="96"/>
      <c r="D142" s="29" t="s">
        <v>126</v>
      </c>
      <c r="E142" s="23" t="s">
        <v>64</v>
      </c>
      <c r="F142" s="24">
        <v>1</v>
      </c>
      <c r="G142" s="24">
        <f>2.1*2.3</f>
        <v>4.83</v>
      </c>
      <c r="H142" s="23" t="s">
        <v>40</v>
      </c>
      <c r="I142" s="27">
        <v>200000</v>
      </c>
      <c r="J142" s="27">
        <f t="shared" si="13"/>
        <v>966000</v>
      </c>
      <c r="K142" s="31"/>
      <c r="L142" s="32"/>
      <c r="M142" s="32"/>
      <c r="N142" s="33"/>
      <c r="O142" s="32"/>
      <c r="P142" s="32"/>
      <c r="Q142" s="32"/>
      <c r="R142" s="32"/>
      <c r="S142" s="32"/>
      <c r="T142" s="32"/>
      <c r="U142" s="32"/>
      <c r="V142" s="32"/>
      <c r="W142" s="32"/>
      <c r="X142" s="32"/>
      <c r="Y142" s="32"/>
      <c r="Z142" s="32"/>
      <c r="AA142" s="32"/>
    </row>
    <row r="143" spans="1:27" x14ac:dyDescent="0.25">
      <c r="A143" s="184"/>
      <c r="B143" s="23"/>
      <c r="C143" s="96"/>
      <c r="D143" s="29" t="s">
        <v>127</v>
      </c>
      <c r="E143" s="23" t="s">
        <v>64</v>
      </c>
      <c r="F143" s="24">
        <v>1</v>
      </c>
      <c r="G143" s="24">
        <f>2.15*2.3</f>
        <v>4.9449999999999994</v>
      </c>
      <c r="H143" s="23" t="s">
        <v>40</v>
      </c>
      <c r="I143" s="27">
        <v>200000</v>
      </c>
      <c r="J143" s="27">
        <f t="shared" si="13"/>
        <v>988999.99999999988</v>
      </c>
      <c r="K143" s="31"/>
      <c r="L143" s="32"/>
      <c r="M143" s="32"/>
      <c r="N143" s="33"/>
      <c r="O143" s="32"/>
      <c r="P143" s="32"/>
      <c r="Q143" s="32"/>
      <c r="R143" s="32"/>
      <c r="S143" s="32"/>
      <c r="T143" s="32"/>
      <c r="U143" s="32"/>
      <c r="V143" s="32"/>
      <c r="W143" s="32"/>
      <c r="X143" s="32"/>
      <c r="Y143" s="32"/>
      <c r="Z143" s="32"/>
      <c r="AA143" s="32"/>
    </row>
    <row r="144" spans="1:27" x14ac:dyDescent="0.25">
      <c r="A144" s="184"/>
      <c r="B144" s="23"/>
      <c r="C144" s="96"/>
      <c r="D144" s="29" t="s">
        <v>128</v>
      </c>
      <c r="E144" s="23" t="s">
        <v>64</v>
      </c>
      <c r="F144" s="24">
        <v>1</v>
      </c>
      <c r="G144" s="24">
        <f>0.8*1.4</f>
        <v>1.1199999999999999</v>
      </c>
      <c r="H144" s="23" t="s">
        <v>40</v>
      </c>
      <c r="I144" s="27">
        <v>225000</v>
      </c>
      <c r="J144" s="27">
        <f t="shared" si="13"/>
        <v>251999.99999999997</v>
      </c>
      <c r="K144" s="31"/>
      <c r="L144" s="32"/>
      <c r="M144" s="32"/>
      <c r="N144" s="33"/>
      <c r="O144" s="32"/>
      <c r="P144" s="32"/>
      <c r="Q144" s="32"/>
      <c r="R144" s="32"/>
      <c r="S144" s="32"/>
      <c r="T144" s="32"/>
      <c r="U144" s="32"/>
      <c r="V144" s="32"/>
      <c r="W144" s="32"/>
      <c r="X144" s="32"/>
      <c r="Y144" s="32"/>
      <c r="Z144" s="32"/>
      <c r="AA144" s="32"/>
    </row>
    <row r="145" spans="1:27" x14ac:dyDescent="0.25">
      <c r="A145" s="184"/>
      <c r="B145" s="23"/>
      <c r="C145" s="96"/>
      <c r="D145" s="29" t="s">
        <v>129</v>
      </c>
      <c r="E145" s="23" t="s">
        <v>64</v>
      </c>
      <c r="F145" s="24">
        <v>1</v>
      </c>
      <c r="G145" s="24">
        <f>1.75*1.4</f>
        <v>2.4499999999999997</v>
      </c>
      <c r="H145" s="23" t="s">
        <v>40</v>
      </c>
      <c r="I145" s="27">
        <v>225000</v>
      </c>
      <c r="J145" s="27">
        <f t="shared" si="13"/>
        <v>551249.99999999988</v>
      </c>
      <c r="K145" s="31"/>
      <c r="L145" s="32"/>
      <c r="M145" s="32"/>
      <c r="N145" s="33"/>
      <c r="O145" s="32"/>
      <c r="P145" s="32"/>
      <c r="Q145" s="32"/>
      <c r="R145" s="32"/>
      <c r="S145" s="32"/>
      <c r="T145" s="32"/>
      <c r="U145" s="32"/>
      <c r="V145" s="32"/>
      <c r="W145" s="32"/>
      <c r="X145" s="32"/>
      <c r="Y145" s="32"/>
      <c r="Z145" s="32"/>
      <c r="AA145" s="32"/>
    </row>
    <row r="146" spans="1:27" x14ac:dyDescent="0.25">
      <c r="A146" s="184"/>
      <c r="B146" s="23"/>
      <c r="C146" s="96"/>
      <c r="D146" s="29" t="s">
        <v>237</v>
      </c>
      <c r="E146" s="23" t="s">
        <v>64</v>
      </c>
      <c r="F146" s="24">
        <v>1</v>
      </c>
      <c r="G146" s="24">
        <v>2.35</v>
      </c>
      <c r="H146" s="23" t="s">
        <v>40</v>
      </c>
      <c r="I146" s="27">
        <v>216000</v>
      </c>
      <c r="J146" s="27">
        <f t="shared" si="13"/>
        <v>507600</v>
      </c>
      <c r="K146" s="31"/>
      <c r="L146" s="32"/>
      <c r="M146" s="32"/>
      <c r="N146" s="33"/>
      <c r="O146" s="32"/>
      <c r="P146" s="32"/>
      <c r="Q146" s="32"/>
      <c r="R146" s="32"/>
      <c r="S146" s="32"/>
      <c r="T146" s="32"/>
      <c r="U146" s="32"/>
      <c r="V146" s="32"/>
      <c r="W146" s="32"/>
      <c r="X146" s="32"/>
      <c r="Y146" s="32"/>
      <c r="Z146" s="32"/>
      <c r="AA146" s="32"/>
    </row>
    <row r="147" spans="1:27" x14ac:dyDescent="0.25">
      <c r="A147" s="184"/>
      <c r="B147" s="23"/>
      <c r="C147" s="96"/>
      <c r="D147" s="29" t="s">
        <v>193</v>
      </c>
      <c r="E147" s="23" t="s">
        <v>192</v>
      </c>
      <c r="F147" s="24">
        <v>1</v>
      </c>
      <c r="G147" s="24">
        <v>20</v>
      </c>
      <c r="H147" s="23" t="s">
        <v>40</v>
      </c>
      <c r="I147" s="27">
        <v>100000</v>
      </c>
      <c r="J147" s="27">
        <f t="shared" si="13"/>
        <v>2000000</v>
      </c>
      <c r="K147" s="31"/>
      <c r="L147" s="32"/>
      <c r="M147" s="32"/>
      <c r="N147" s="33"/>
      <c r="O147" s="32"/>
      <c r="P147" s="32"/>
      <c r="Q147" s="32"/>
      <c r="R147" s="32"/>
      <c r="S147" s="32"/>
      <c r="T147" s="32"/>
      <c r="U147" s="32"/>
      <c r="V147" s="32"/>
      <c r="W147" s="32"/>
      <c r="X147" s="32"/>
      <c r="Y147" s="32"/>
      <c r="Z147" s="32"/>
      <c r="AA147" s="32"/>
    </row>
    <row r="148" spans="1:27" x14ac:dyDescent="0.25">
      <c r="A148" s="184"/>
      <c r="B148" s="190"/>
      <c r="C148" s="190"/>
      <c r="D148" s="190"/>
      <c r="E148" s="190"/>
      <c r="F148" s="190"/>
      <c r="G148" s="190"/>
      <c r="H148" s="190"/>
      <c r="I148" s="28" t="s">
        <v>31</v>
      </c>
      <c r="J148" s="27">
        <f>SUM(J127:J147)</f>
        <v>16335725</v>
      </c>
      <c r="K148" s="31"/>
      <c r="L148" s="32"/>
      <c r="M148" s="32"/>
      <c r="N148" s="33"/>
      <c r="O148" s="32"/>
      <c r="P148" s="32"/>
      <c r="Q148" s="32"/>
      <c r="R148" s="32"/>
      <c r="S148" s="32"/>
      <c r="T148" s="32"/>
      <c r="U148" s="32"/>
      <c r="V148" s="32"/>
      <c r="W148" s="32"/>
      <c r="X148" s="32"/>
      <c r="Y148" s="32"/>
      <c r="Z148" s="32"/>
      <c r="AA148" s="32"/>
    </row>
    <row r="149" spans="1:27" x14ac:dyDescent="0.25">
      <c r="A149" s="188"/>
      <c r="B149" s="184"/>
      <c r="C149" s="184"/>
      <c r="D149" s="184"/>
      <c r="E149" s="184"/>
      <c r="F149" s="184"/>
      <c r="G149" s="184"/>
      <c r="H149" s="184"/>
      <c r="I149" s="184"/>
      <c r="J149" s="184"/>
      <c r="K149" s="31"/>
      <c r="L149" s="32"/>
      <c r="M149" s="32"/>
      <c r="N149" s="33"/>
      <c r="O149" s="32"/>
      <c r="P149" s="32"/>
      <c r="Q149" s="32"/>
      <c r="R149" s="32"/>
      <c r="S149" s="32"/>
      <c r="T149" s="32"/>
      <c r="U149" s="32"/>
      <c r="V149" s="32"/>
      <c r="W149" s="32"/>
      <c r="X149" s="32"/>
      <c r="Y149" s="32"/>
      <c r="Z149" s="32"/>
      <c r="AA149" s="32"/>
    </row>
    <row r="150" spans="1:27" x14ac:dyDescent="0.25">
      <c r="A150" s="53" t="s">
        <v>10</v>
      </c>
      <c r="B150" s="53" t="s">
        <v>11</v>
      </c>
      <c r="C150" s="29" t="s">
        <v>12</v>
      </c>
      <c r="D150" s="29" t="s">
        <v>13</v>
      </c>
      <c r="E150" s="53" t="s">
        <v>14</v>
      </c>
      <c r="F150" s="53" t="s">
        <v>15</v>
      </c>
      <c r="G150" s="53" t="s">
        <v>185</v>
      </c>
      <c r="H150" s="53" t="s">
        <v>185</v>
      </c>
      <c r="I150" s="53" t="s">
        <v>18</v>
      </c>
      <c r="J150" s="53" t="s">
        <v>19</v>
      </c>
      <c r="K150" s="31"/>
      <c r="L150" s="32"/>
      <c r="M150" s="32"/>
      <c r="N150" s="33"/>
      <c r="O150" s="32"/>
      <c r="P150" s="32"/>
      <c r="Q150" s="32"/>
      <c r="R150" s="32"/>
      <c r="S150" s="32"/>
      <c r="T150" s="32"/>
      <c r="U150" s="32"/>
      <c r="V150" s="32"/>
      <c r="W150" s="32"/>
      <c r="X150" s="32"/>
      <c r="Y150" s="32"/>
      <c r="Z150" s="32"/>
      <c r="AA150" s="32"/>
    </row>
    <row r="151" spans="1:27" x14ac:dyDescent="0.25">
      <c r="A151" s="196" t="s">
        <v>254</v>
      </c>
      <c r="B151" s="54" t="s">
        <v>255</v>
      </c>
      <c r="C151" s="192" t="s">
        <v>68</v>
      </c>
      <c r="D151" s="192"/>
      <c r="E151" s="192"/>
      <c r="F151" s="192"/>
      <c r="G151" s="192"/>
      <c r="H151" s="192"/>
      <c r="I151" s="192"/>
      <c r="J151" s="192"/>
      <c r="K151" s="31"/>
      <c r="L151" s="32"/>
      <c r="M151" s="32"/>
      <c r="N151" s="33"/>
      <c r="O151" s="32"/>
      <c r="P151" s="32"/>
      <c r="Q151" s="32"/>
      <c r="R151" s="32"/>
      <c r="S151" s="32"/>
      <c r="T151" s="32"/>
      <c r="U151" s="32"/>
      <c r="V151" s="32"/>
      <c r="W151" s="32"/>
      <c r="X151" s="32"/>
      <c r="Y151" s="32"/>
      <c r="Z151" s="32"/>
      <c r="AA151" s="32"/>
    </row>
    <row r="152" spans="1:27" x14ac:dyDescent="0.25">
      <c r="A152" s="184"/>
      <c r="B152" s="74"/>
      <c r="C152" s="107"/>
      <c r="D152" s="73" t="s">
        <v>130</v>
      </c>
      <c r="E152" s="80" t="s">
        <v>22</v>
      </c>
      <c r="F152" s="81">
        <v>77.05</v>
      </c>
      <c r="G152" s="23" t="s">
        <v>40</v>
      </c>
      <c r="H152" s="23" t="s">
        <v>40</v>
      </c>
      <c r="I152" s="27">
        <v>38000</v>
      </c>
      <c r="J152" s="27">
        <f>F152*I152</f>
        <v>2927900</v>
      </c>
      <c r="K152" s="31"/>
      <c r="L152" s="32"/>
      <c r="M152" s="32"/>
      <c r="N152" s="33"/>
      <c r="O152" s="32"/>
      <c r="P152" s="32"/>
      <c r="Q152" s="32"/>
      <c r="R152" s="32"/>
      <c r="S152" s="32"/>
      <c r="T152" s="32"/>
      <c r="U152" s="32"/>
      <c r="V152" s="32"/>
      <c r="W152" s="32"/>
      <c r="X152" s="32"/>
      <c r="Y152" s="32"/>
      <c r="Z152" s="32"/>
      <c r="AA152" s="32"/>
    </row>
    <row r="153" spans="1:27" x14ac:dyDescent="0.25">
      <c r="A153" s="184"/>
      <c r="B153" s="74"/>
      <c r="C153" s="107"/>
      <c r="D153" s="73" t="s">
        <v>131</v>
      </c>
      <c r="E153" s="80" t="s">
        <v>22</v>
      </c>
      <c r="F153" s="81">
        <v>27.11</v>
      </c>
      <c r="G153" s="23" t="s">
        <v>40</v>
      </c>
      <c r="H153" s="23" t="s">
        <v>40</v>
      </c>
      <c r="I153" s="27">
        <v>73980</v>
      </c>
      <c r="J153" s="27">
        <f>+F153*I153</f>
        <v>2005597.8</v>
      </c>
      <c r="K153" s="31"/>
      <c r="L153" s="32"/>
      <c r="M153" s="32"/>
      <c r="N153" s="33"/>
      <c r="O153" s="32"/>
      <c r="P153" s="32"/>
      <c r="Q153" s="32"/>
      <c r="R153" s="32"/>
      <c r="S153" s="32"/>
      <c r="T153" s="32"/>
      <c r="U153" s="32"/>
      <c r="V153" s="32"/>
      <c r="W153" s="32"/>
      <c r="X153" s="32"/>
      <c r="Y153" s="32"/>
      <c r="Z153" s="32"/>
      <c r="AA153" s="32"/>
    </row>
    <row r="154" spans="1:27" x14ac:dyDescent="0.25">
      <c r="A154" s="184"/>
      <c r="B154" s="190"/>
      <c r="C154" s="190"/>
      <c r="D154" s="190"/>
      <c r="E154" s="190"/>
      <c r="F154" s="190"/>
      <c r="G154" s="190"/>
      <c r="H154" s="190"/>
      <c r="I154" s="28" t="s">
        <v>31</v>
      </c>
      <c r="J154" s="27">
        <f>SUM(J152:J153)</f>
        <v>4933497.8</v>
      </c>
      <c r="K154" s="31"/>
      <c r="L154" s="32"/>
      <c r="M154" s="32"/>
      <c r="N154" s="33"/>
      <c r="O154" s="32"/>
      <c r="P154" s="32"/>
      <c r="Q154" s="32"/>
      <c r="R154" s="32"/>
      <c r="S154" s="32"/>
      <c r="T154" s="32"/>
      <c r="U154" s="32"/>
      <c r="V154" s="32"/>
      <c r="W154" s="32"/>
      <c r="X154" s="32"/>
      <c r="Y154" s="32"/>
      <c r="Z154" s="32"/>
      <c r="AA154" s="32"/>
    </row>
    <row r="155" spans="1:27" x14ac:dyDescent="0.25">
      <c r="A155" s="188"/>
      <c r="B155" s="184"/>
      <c r="C155" s="184"/>
      <c r="D155" s="184"/>
      <c r="E155" s="184"/>
      <c r="F155" s="184"/>
      <c r="G155" s="184"/>
      <c r="H155" s="184"/>
      <c r="I155" s="184"/>
      <c r="J155" s="184"/>
      <c r="K155" s="31"/>
      <c r="L155" s="32"/>
      <c r="M155" s="32"/>
      <c r="N155" s="33"/>
      <c r="O155" s="32"/>
      <c r="P155" s="32"/>
      <c r="Q155" s="32"/>
      <c r="R155" s="32"/>
      <c r="S155" s="32"/>
      <c r="T155" s="32"/>
      <c r="U155" s="32"/>
      <c r="V155" s="32"/>
      <c r="W155" s="32"/>
      <c r="X155" s="32"/>
      <c r="Y155" s="32"/>
      <c r="Z155" s="32"/>
      <c r="AA155" s="32"/>
    </row>
    <row r="156" spans="1:27" x14ac:dyDescent="0.25">
      <c r="A156" s="53" t="s">
        <v>10</v>
      </c>
      <c r="B156" s="53" t="s">
        <v>11</v>
      </c>
      <c r="C156" s="29" t="s">
        <v>12</v>
      </c>
      <c r="D156" s="29" t="s">
        <v>13</v>
      </c>
      <c r="E156" s="53" t="s">
        <v>14</v>
      </c>
      <c r="F156" s="53" t="s">
        <v>15</v>
      </c>
      <c r="G156" s="53" t="s">
        <v>185</v>
      </c>
      <c r="H156" s="53" t="s">
        <v>185</v>
      </c>
      <c r="I156" s="53" t="s">
        <v>18</v>
      </c>
      <c r="J156" s="53" t="s">
        <v>19</v>
      </c>
      <c r="K156" s="31"/>
      <c r="L156" s="32"/>
      <c r="M156" s="32"/>
      <c r="N156" s="33"/>
      <c r="O156" s="32"/>
      <c r="P156" s="32"/>
      <c r="Q156" s="32"/>
      <c r="R156" s="32"/>
      <c r="S156" s="32"/>
      <c r="T156" s="32"/>
      <c r="U156" s="32"/>
      <c r="V156" s="32"/>
      <c r="W156" s="32"/>
      <c r="X156" s="32"/>
      <c r="Y156" s="32"/>
      <c r="Z156" s="32"/>
      <c r="AA156" s="32"/>
    </row>
    <row r="157" spans="1:27" x14ac:dyDescent="0.25">
      <c r="A157" s="189" t="s">
        <v>256</v>
      </c>
      <c r="B157" s="90" t="s">
        <v>257</v>
      </c>
      <c r="C157" s="199" t="s">
        <v>132</v>
      </c>
      <c r="D157" s="199"/>
      <c r="E157" s="199"/>
      <c r="F157" s="199"/>
      <c r="G157" s="199"/>
      <c r="H157" s="199"/>
      <c r="I157" s="199"/>
      <c r="J157" s="199"/>
      <c r="K157" s="31"/>
      <c r="L157" s="32"/>
      <c r="M157" s="32"/>
      <c r="N157" s="33"/>
      <c r="O157" s="32"/>
      <c r="P157" s="32"/>
      <c r="Q157" s="32"/>
      <c r="R157" s="32"/>
      <c r="S157" s="32"/>
      <c r="T157" s="32"/>
      <c r="U157" s="32"/>
      <c r="V157" s="32"/>
      <c r="W157" s="32"/>
      <c r="X157" s="32"/>
      <c r="Y157" s="32"/>
      <c r="Z157" s="32"/>
      <c r="AA157" s="32"/>
    </row>
    <row r="158" spans="1:27" x14ac:dyDescent="0.25">
      <c r="A158" s="184"/>
      <c r="B158" s="91"/>
      <c r="C158" s="85"/>
      <c r="D158" s="92" t="s">
        <v>238</v>
      </c>
      <c r="E158" s="25" t="s">
        <v>56</v>
      </c>
      <c r="F158" s="86">
        <v>2</v>
      </c>
      <c r="G158" s="25" t="s">
        <v>40</v>
      </c>
      <c r="H158" s="25" t="s">
        <v>40</v>
      </c>
      <c r="I158" s="93">
        <v>550000</v>
      </c>
      <c r="J158" s="27">
        <f t="shared" ref="J158:J161" si="14">F158*I158</f>
        <v>1100000</v>
      </c>
      <c r="K158" s="31"/>
      <c r="L158" s="32"/>
      <c r="M158" s="32"/>
      <c r="N158" s="33"/>
      <c r="O158" s="32"/>
      <c r="P158" s="32"/>
      <c r="Q158" s="32"/>
      <c r="R158" s="32"/>
      <c r="S158" s="32"/>
      <c r="T158" s="32"/>
      <c r="U158" s="32"/>
      <c r="V158" s="32"/>
      <c r="W158" s="32"/>
      <c r="X158" s="32"/>
      <c r="Y158" s="32"/>
      <c r="Z158" s="32"/>
      <c r="AA158" s="32"/>
    </row>
    <row r="159" spans="1:27" x14ac:dyDescent="0.25">
      <c r="A159" s="184"/>
      <c r="B159" s="25"/>
      <c r="C159" s="94"/>
      <c r="D159" s="85" t="s">
        <v>239</v>
      </c>
      <c r="E159" s="25" t="s">
        <v>56</v>
      </c>
      <c r="F159" s="86">
        <v>1</v>
      </c>
      <c r="G159" s="25" t="s">
        <v>40</v>
      </c>
      <c r="H159" s="25" t="s">
        <v>40</v>
      </c>
      <c r="I159" s="93">
        <v>1000000</v>
      </c>
      <c r="J159" s="27">
        <f t="shared" si="14"/>
        <v>1000000</v>
      </c>
      <c r="K159" s="31"/>
      <c r="L159" s="32"/>
      <c r="M159" s="32"/>
      <c r="N159" s="33"/>
      <c r="O159" s="32"/>
      <c r="P159" s="32"/>
      <c r="Q159" s="32"/>
      <c r="R159" s="32"/>
      <c r="S159" s="32"/>
      <c r="T159" s="32"/>
      <c r="U159" s="32"/>
      <c r="V159" s="32"/>
      <c r="W159" s="32"/>
      <c r="X159" s="32"/>
      <c r="Y159" s="32"/>
      <c r="Z159" s="32"/>
      <c r="AA159" s="32"/>
    </row>
    <row r="160" spans="1:27" x14ac:dyDescent="0.25">
      <c r="A160" s="184"/>
      <c r="B160" s="25"/>
      <c r="C160" s="94"/>
      <c r="D160" s="85" t="s">
        <v>251</v>
      </c>
      <c r="E160" s="25" t="s">
        <v>56</v>
      </c>
      <c r="F160" s="86">
        <v>1</v>
      </c>
      <c r="G160" s="25" t="s">
        <v>40</v>
      </c>
      <c r="H160" s="25" t="s">
        <v>40</v>
      </c>
      <c r="I160" s="93">
        <v>570000</v>
      </c>
      <c r="J160" s="27">
        <f t="shared" si="14"/>
        <v>570000</v>
      </c>
      <c r="K160" s="31"/>
      <c r="L160" s="51"/>
      <c r="M160" s="51"/>
      <c r="N160" s="33"/>
      <c r="O160" s="32"/>
      <c r="P160" s="32"/>
      <c r="Q160" s="32"/>
      <c r="R160" s="32"/>
      <c r="S160" s="32"/>
      <c r="T160" s="32"/>
      <c r="U160" s="32"/>
      <c r="V160" s="32"/>
      <c r="W160" s="32"/>
      <c r="X160" s="32"/>
      <c r="Y160" s="32"/>
      <c r="Z160" s="32"/>
      <c r="AA160" s="32"/>
    </row>
    <row r="161" spans="1:27" x14ac:dyDescent="0.25">
      <c r="A161" s="184"/>
      <c r="B161" s="25"/>
      <c r="C161" s="94"/>
      <c r="D161" s="85" t="s">
        <v>133</v>
      </c>
      <c r="E161" s="25" t="s">
        <v>56</v>
      </c>
      <c r="F161" s="86">
        <v>1</v>
      </c>
      <c r="G161" s="25" t="s">
        <v>40</v>
      </c>
      <c r="H161" s="25" t="s">
        <v>40</v>
      </c>
      <c r="I161" s="30">
        <v>380000</v>
      </c>
      <c r="J161" s="27">
        <f t="shared" si="14"/>
        <v>380000</v>
      </c>
      <c r="K161" s="31"/>
      <c r="L161" s="33"/>
      <c r="M161" s="33"/>
      <c r="N161" s="33"/>
      <c r="O161" s="32"/>
      <c r="P161" s="32"/>
      <c r="Q161" s="32"/>
      <c r="R161" s="32"/>
      <c r="S161" s="32"/>
      <c r="T161" s="32"/>
      <c r="U161" s="32"/>
      <c r="V161" s="32"/>
      <c r="W161" s="32"/>
      <c r="X161" s="32"/>
      <c r="Y161" s="32"/>
      <c r="Z161" s="32"/>
      <c r="AA161" s="32"/>
    </row>
    <row r="162" spans="1:27" x14ac:dyDescent="0.25">
      <c r="A162" s="184"/>
      <c r="B162" s="190"/>
      <c r="C162" s="190"/>
      <c r="D162" s="190"/>
      <c r="E162" s="190"/>
      <c r="F162" s="190"/>
      <c r="G162" s="190"/>
      <c r="H162" s="190"/>
      <c r="I162" s="28" t="s">
        <v>31</v>
      </c>
      <c r="J162" s="95">
        <f>SUM(J158:J161)</f>
        <v>3050000</v>
      </c>
      <c r="K162" s="31"/>
      <c r="L162" s="33"/>
      <c r="M162" s="33"/>
      <c r="N162" s="33"/>
      <c r="O162" s="32"/>
      <c r="P162" s="32"/>
      <c r="Q162" s="32"/>
      <c r="R162" s="32"/>
      <c r="S162" s="32"/>
      <c r="T162" s="32"/>
      <c r="U162" s="32"/>
      <c r="V162" s="32"/>
      <c r="W162" s="32"/>
      <c r="X162" s="32"/>
      <c r="Y162" s="32"/>
      <c r="Z162" s="32"/>
      <c r="AA162" s="32"/>
    </row>
    <row r="163" spans="1:27" x14ac:dyDescent="0.25">
      <c r="A163" s="188"/>
      <c r="B163" s="184"/>
      <c r="C163" s="184"/>
      <c r="D163" s="184"/>
      <c r="E163" s="184"/>
      <c r="F163" s="184"/>
      <c r="G163" s="184"/>
      <c r="H163" s="184"/>
      <c r="I163" s="184"/>
      <c r="J163" s="184"/>
      <c r="K163" s="31"/>
      <c r="L163" s="32"/>
      <c r="M163" s="32"/>
      <c r="N163" s="33"/>
      <c r="O163" s="32"/>
      <c r="P163" s="32"/>
      <c r="Q163" s="32"/>
      <c r="R163" s="32"/>
      <c r="S163" s="32"/>
      <c r="T163" s="32"/>
      <c r="U163" s="32"/>
      <c r="V163" s="32"/>
      <c r="W163" s="32"/>
      <c r="X163" s="32"/>
      <c r="Y163" s="32"/>
      <c r="Z163" s="32"/>
      <c r="AA163" s="32"/>
    </row>
    <row r="164" spans="1:27" x14ac:dyDescent="0.25">
      <c r="A164" s="53" t="s">
        <v>10</v>
      </c>
      <c r="B164" s="53" t="s">
        <v>11</v>
      </c>
      <c r="C164" s="29" t="s">
        <v>12</v>
      </c>
      <c r="D164" s="29" t="s">
        <v>13</v>
      </c>
      <c r="E164" s="53" t="s">
        <v>14</v>
      </c>
      <c r="F164" s="53" t="s">
        <v>15</v>
      </c>
      <c r="G164" s="53" t="s">
        <v>185</v>
      </c>
      <c r="H164" s="53" t="s">
        <v>185</v>
      </c>
      <c r="I164" s="53" t="s">
        <v>18</v>
      </c>
      <c r="J164" s="53" t="s">
        <v>19</v>
      </c>
      <c r="K164" s="31"/>
      <c r="L164" s="32"/>
      <c r="M164" s="32"/>
      <c r="N164" s="33"/>
      <c r="O164" s="32"/>
      <c r="P164" s="32"/>
      <c r="Q164" s="32"/>
      <c r="R164" s="32"/>
      <c r="S164" s="32"/>
      <c r="T164" s="32"/>
      <c r="U164" s="32"/>
      <c r="V164" s="32"/>
      <c r="W164" s="32"/>
      <c r="X164" s="32"/>
      <c r="Y164" s="32"/>
      <c r="Z164" s="32"/>
      <c r="AA164" s="32"/>
    </row>
    <row r="165" spans="1:27" x14ac:dyDescent="0.25">
      <c r="A165" s="189" t="s">
        <v>258</v>
      </c>
      <c r="B165" s="21" t="s">
        <v>223</v>
      </c>
      <c r="C165" s="191" t="s">
        <v>134</v>
      </c>
      <c r="D165" s="191"/>
      <c r="E165" s="191"/>
      <c r="F165" s="191"/>
      <c r="G165" s="191"/>
      <c r="H165" s="191"/>
      <c r="I165" s="191"/>
      <c r="J165" s="191"/>
      <c r="K165" s="31"/>
      <c r="L165" s="32"/>
      <c r="M165" s="32"/>
      <c r="N165" s="33"/>
      <c r="O165" s="32"/>
      <c r="P165" s="32"/>
      <c r="Q165" s="32"/>
      <c r="R165" s="32"/>
      <c r="S165" s="32"/>
      <c r="T165" s="32"/>
      <c r="U165" s="32"/>
      <c r="V165" s="32"/>
      <c r="W165" s="32"/>
      <c r="X165" s="32"/>
      <c r="Y165" s="32"/>
      <c r="Z165" s="32"/>
      <c r="AA165" s="32"/>
    </row>
    <row r="166" spans="1:27" x14ac:dyDescent="0.25">
      <c r="A166" s="184"/>
      <c r="B166" s="23"/>
      <c r="C166" s="96"/>
      <c r="D166" s="29" t="s">
        <v>135</v>
      </c>
      <c r="E166" s="23" t="s">
        <v>56</v>
      </c>
      <c r="F166" s="24">
        <v>1</v>
      </c>
      <c r="G166" s="25" t="s">
        <v>40</v>
      </c>
      <c r="H166" s="25" t="s">
        <v>40</v>
      </c>
      <c r="I166" s="27">
        <v>6000000</v>
      </c>
      <c r="J166" s="27">
        <f>F166*I166</f>
        <v>6000000</v>
      </c>
      <c r="K166" s="31">
        <v>5500000</v>
      </c>
      <c r="L166" s="32">
        <f>(2.5-0.9)</f>
        <v>1.6</v>
      </c>
      <c r="M166" s="32"/>
      <c r="N166" s="33"/>
      <c r="O166" s="32"/>
      <c r="P166" s="32"/>
      <c r="Q166" s="32"/>
      <c r="R166" s="32"/>
      <c r="S166" s="32"/>
      <c r="T166" s="32"/>
      <c r="U166" s="32"/>
      <c r="V166" s="32"/>
      <c r="W166" s="32"/>
      <c r="X166" s="32"/>
      <c r="Y166" s="32"/>
      <c r="Z166" s="32"/>
      <c r="AA166" s="32"/>
    </row>
    <row r="167" spans="1:27" x14ac:dyDescent="0.25">
      <c r="A167" s="184"/>
      <c r="B167" s="190"/>
      <c r="C167" s="190"/>
      <c r="D167" s="190"/>
      <c r="E167" s="190"/>
      <c r="F167" s="190"/>
      <c r="G167" s="190"/>
      <c r="H167" s="190"/>
      <c r="I167" s="28" t="s">
        <v>31</v>
      </c>
      <c r="J167" s="27">
        <f>SUM(J166)</f>
        <v>6000000</v>
      </c>
      <c r="K167" s="31"/>
      <c r="L167" s="32"/>
      <c r="M167" s="32"/>
      <c r="N167" s="33"/>
      <c r="O167" s="32"/>
      <c r="P167" s="32"/>
      <c r="Q167" s="32"/>
      <c r="R167" s="32"/>
      <c r="S167" s="32"/>
      <c r="T167" s="32"/>
      <c r="U167" s="32"/>
      <c r="V167" s="32"/>
      <c r="W167" s="32"/>
      <c r="X167" s="32"/>
      <c r="Y167" s="32"/>
      <c r="Z167" s="32"/>
      <c r="AA167" s="32"/>
    </row>
    <row r="168" spans="1:27" x14ac:dyDescent="0.25">
      <c r="A168" s="188"/>
      <c r="B168" s="184"/>
      <c r="C168" s="184"/>
      <c r="D168" s="184"/>
      <c r="E168" s="184"/>
      <c r="F168" s="184"/>
      <c r="G168" s="184"/>
      <c r="H168" s="184"/>
      <c r="I168" s="184"/>
      <c r="J168" s="184"/>
      <c r="K168" s="31"/>
      <c r="L168" s="32"/>
      <c r="M168" s="32"/>
      <c r="N168" s="33"/>
      <c r="O168" s="32"/>
      <c r="P168" s="32"/>
      <c r="Q168" s="32"/>
      <c r="R168" s="32"/>
      <c r="S168" s="32"/>
      <c r="T168" s="32"/>
      <c r="U168" s="32"/>
      <c r="V168" s="32"/>
      <c r="W168" s="32"/>
      <c r="X168" s="32"/>
      <c r="Y168" s="32"/>
      <c r="Z168" s="32"/>
      <c r="AA168" s="32"/>
    </row>
    <row r="169" spans="1:27" x14ac:dyDescent="0.25">
      <c r="A169" s="53" t="s">
        <v>10</v>
      </c>
      <c r="B169" s="53" t="s">
        <v>11</v>
      </c>
      <c r="C169" s="29" t="s">
        <v>12</v>
      </c>
      <c r="D169" s="29" t="s">
        <v>13</v>
      </c>
      <c r="E169" s="53" t="s">
        <v>14</v>
      </c>
      <c r="F169" s="53" t="s">
        <v>15</v>
      </c>
      <c r="G169" s="53" t="s">
        <v>185</v>
      </c>
      <c r="H169" s="53" t="s">
        <v>185</v>
      </c>
      <c r="I169" s="53" t="s">
        <v>18</v>
      </c>
      <c r="J169" s="53" t="s">
        <v>19</v>
      </c>
      <c r="K169" s="31"/>
      <c r="L169" s="32"/>
      <c r="M169" s="32"/>
      <c r="N169" s="33"/>
      <c r="O169" s="32"/>
      <c r="P169" s="32"/>
      <c r="Q169" s="32"/>
      <c r="R169" s="32"/>
      <c r="S169" s="32"/>
      <c r="T169" s="32"/>
      <c r="U169" s="32"/>
      <c r="V169" s="32"/>
      <c r="W169" s="32"/>
      <c r="X169" s="32"/>
      <c r="Y169" s="32"/>
      <c r="Z169" s="32"/>
      <c r="AA169" s="32"/>
    </row>
    <row r="170" spans="1:27" x14ac:dyDescent="0.25">
      <c r="A170" s="189" t="s">
        <v>259</v>
      </c>
      <c r="B170" s="21" t="s">
        <v>260</v>
      </c>
      <c r="C170" s="191" t="s">
        <v>136</v>
      </c>
      <c r="D170" s="191"/>
      <c r="E170" s="191"/>
      <c r="F170" s="191"/>
      <c r="G170" s="191"/>
      <c r="H170" s="191"/>
      <c r="I170" s="191"/>
      <c r="J170" s="191"/>
      <c r="K170" s="31"/>
      <c r="L170" s="32"/>
      <c r="M170" s="32"/>
      <c r="N170" s="33"/>
      <c r="O170" s="32"/>
      <c r="P170" s="32"/>
      <c r="Q170" s="32"/>
      <c r="R170" s="32"/>
      <c r="S170" s="32"/>
      <c r="T170" s="32"/>
      <c r="U170" s="32"/>
      <c r="V170" s="32"/>
      <c r="W170" s="32"/>
      <c r="X170" s="32"/>
      <c r="Y170" s="32"/>
      <c r="Z170" s="32"/>
      <c r="AA170" s="32"/>
    </row>
    <row r="171" spans="1:27" x14ac:dyDescent="0.25">
      <c r="A171" s="204"/>
      <c r="B171" s="53"/>
      <c r="C171" s="29"/>
      <c r="D171" s="29" t="s">
        <v>247</v>
      </c>
      <c r="E171" s="23" t="s">
        <v>64</v>
      </c>
      <c r="F171" s="24">
        <f>(4.32*2.3)</f>
        <v>9.9359999999999999</v>
      </c>
      <c r="G171" s="25" t="s">
        <v>40</v>
      </c>
      <c r="H171" s="25" t="s">
        <v>40</v>
      </c>
      <c r="I171" s="27">
        <v>450000</v>
      </c>
      <c r="J171" s="27">
        <f t="shared" ref="J171:J172" si="15">I171*F171</f>
        <v>4471200</v>
      </c>
      <c r="K171" s="31"/>
      <c r="L171" s="32"/>
      <c r="M171" s="32"/>
      <c r="N171" s="33"/>
      <c r="O171" s="32"/>
      <c r="P171" s="32"/>
      <c r="Q171" s="32"/>
      <c r="R171" s="32"/>
      <c r="S171" s="32"/>
      <c r="T171" s="32"/>
      <c r="U171" s="32"/>
      <c r="V171" s="32"/>
      <c r="W171" s="32"/>
      <c r="X171" s="32"/>
      <c r="Y171" s="32"/>
      <c r="Z171" s="32"/>
      <c r="AA171" s="32"/>
    </row>
    <row r="172" spans="1:27" x14ac:dyDescent="0.25">
      <c r="A172" s="204"/>
      <c r="B172" s="23"/>
      <c r="C172" s="96"/>
      <c r="D172" s="29" t="s">
        <v>137</v>
      </c>
      <c r="E172" s="23" t="s">
        <v>64</v>
      </c>
      <c r="F172" s="24">
        <f>(2.42+0.92)*2.3</f>
        <v>7.6819999999999995</v>
      </c>
      <c r="G172" s="25" t="s">
        <v>40</v>
      </c>
      <c r="H172" s="25" t="s">
        <v>40</v>
      </c>
      <c r="I172" s="27">
        <v>450000</v>
      </c>
      <c r="J172" s="27">
        <f t="shared" si="15"/>
        <v>3456900</v>
      </c>
      <c r="K172" s="31"/>
      <c r="L172" s="32"/>
      <c r="M172" s="32"/>
      <c r="N172" s="33"/>
      <c r="O172" s="32"/>
      <c r="P172" s="32"/>
      <c r="Q172" s="32"/>
      <c r="R172" s="32"/>
      <c r="S172" s="32"/>
      <c r="T172" s="32"/>
      <c r="U172" s="32"/>
      <c r="V172" s="32"/>
      <c r="W172" s="32"/>
      <c r="X172" s="32"/>
      <c r="Y172" s="32"/>
      <c r="Z172" s="32"/>
      <c r="AA172" s="32"/>
    </row>
    <row r="173" spans="1:27" x14ac:dyDescent="0.25">
      <c r="A173" s="204"/>
      <c r="B173" s="190"/>
      <c r="C173" s="190"/>
      <c r="D173" s="190"/>
      <c r="E173" s="190"/>
      <c r="F173" s="190"/>
      <c r="G173" s="190"/>
      <c r="H173" s="190"/>
      <c r="I173" s="28" t="s">
        <v>31</v>
      </c>
      <c r="J173" s="27">
        <f>SUM(J171+J172)</f>
        <v>7928100</v>
      </c>
      <c r="K173" s="31"/>
      <c r="L173" s="32"/>
      <c r="M173" s="32"/>
      <c r="N173" s="33"/>
      <c r="O173" s="32"/>
      <c r="P173" s="32"/>
      <c r="Q173" s="32"/>
      <c r="R173" s="32"/>
      <c r="S173" s="32"/>
      <c r="T173" s="32"/>
      <c r="U173" s="32"/>
      <c r="V173" s="32"/>
      <c r="W173" s="32"/>
      <c r="X173" s="32"/>
      <c r="Y173" s="32"/>
      <c r="Z173" s="32"/>
      <c r="AA173" s="32"/>
    </row>
    <row r="174" spans="1:27" x14ac:dyDescent="0.25">
      <c r="A174" s="188"/>
      <c r="B174" s="184"/>
      <c r="C174" s="184"/>
      <c r="D174" s="184"/>
      <c r="E174" s="184"/>
      <c r="F174" s="184"/>
      <c r="G174" s="184"/>
      <c r="H174" s="184"/>
      <c r="I174" s="184"/>
      <c r="J174" s="184"/>
      <c r="K174" s="31"/>
      <c r="L174" s="32"/>
      <c r="M174" s="32"/>
      <c r="N174" s="33"/>
      <c r="O174" s="32"/>
      <c r="P174" s="32"/>
      <c r="Q174" s="32"/>
      <c r="R174" s="32"/>
      <c r="S174" s="32"/>
      <c r="T174" s="32"/>
      <c r="U174" s="32"/>
      <c r="V174" s="32"/>
      <c r="W174" s="32"/>
      <c r="X174" s="32"/>
      <c r="Y174" s="32"/>
      <c r="Z174" s="32"/>
      <c r="AA174" s="32"/>
    </row>
    <row r="175" spans="1:27" x14ac:dyDescent="0.25">
      <c r="A175" s="53" t="s">
        <v>10</v>
      </c>
      <c r="B175" s="53" t="s">
        <v>11</v>
      </c>
      <c r="C175" s="29" t="s">
        <v>12</v>
      </c>
      <c r="D175" s="29" t="s">
        <v>13</v>
      </c>
      <c r="E175" s="53" t="s">
        <v>14</v>
      </c>
      <c r="F175" s="53" t="s">
        <v>15</v>
      </c>
      <c r="G175" s="53" t="s">
        <v>185</v>
      </c>
      <c r="H175" s="53" t="s">
        <v>185</v>
      </c>
      <c r="I175" s="53" t="s">
        <v>18</v>
      </c>
      <c r="J175" s="53" t="s">
        <v>19</v>
      </c>
      <c r="K175" s="31"/>
      <c r="L175" s="32"/>
      <c r="M175" s="32"/>
      <c r="N175" s="33"/>
      <c r="O175" s="32"/>
      <c r="P175" s="32"/>
      <c r="Q175" s="32"/>
      <c r="R175" s="32"/>
      <c r="S175" s="32"/>
      <c r="T175" s="32"/>
      <c r="U175" s="32"/>
      <c r="V175" s="32"/>
      <c r="W175" s="32"/>
      <c r="X175" s="32"/>
      <c r="Y175" s="32"/>
      <c r="Z175" s="32"/>
      <c r="AA175" s="32"/>
    </row>
    <row r="176" spans="1:27" x14ac:dyDescent="0.25">
      <c r="A176" s="189" t="s">
        <v>261</v>
      </c>
      <c r="B176" s="21" t="s">
        <v>262</v>
      </c>
      <c r="C176" s="191" t="s">
        <v>30</v>
      </c>
      <c r="D176" s="191"/>
      <c r="E176" s="191"/>
      <c r="F176" s="191"/>
      <c r="G176" s="191"/>
      <c r="H176" s="191"/>
      <c r="I176" s="191"/>
      <c r="J176" s="191"/>
      <c r="K176" s="31"/>
      <c r="L176" s="32"/>
      <c r="M176" s="32"/>
      <c r="N176" s="33"/>
      <c r="O176" s="32"/>
      <c r="P176" s="32"/>
      <c r="Q176" s="32"/>
      <c r="R176" s="32"/>
      <c r="S176" s="32"/>
      <c r="T176" s="32"/>
      <c r="U176" s="32"/>
      <c r="V176" s="32"/>
      <c r="W176" s="32"/>
      <c r="X176" s="32"/>
      <c r="Y176" s="32"/>
      <c r="Z176" s="32"/>
      <c r="AA176" s="32"/>
    </row>
    <row r="177" spans="1:27" x14ac:dyDescent="0.25">
      <c r="A177" s="184"/>
      <c r="B177" s="23"/>
      <c r="C177" s="96"/>
      <c r="D177" s="29" t="s">
        <v>138</v>
      </c>
      <c r="E177" s="23" t="s">
        <v>64</v>
      </c>
      <c r="F177" s="24">
        <v>135</v>
      </c>
      <c r="G177" s="25" t="s">
        <v>40</v>
      </c>
      <c r="H177" s="25" t="s">
        <v>40</v>
      </c>
      <c r="I177" s="95">
        <v>210000</v>
      </c>
      <c r="J177" s="95">
        <f>I177*F177</f>
        <v>28350000</v>
      </c>
      <c r="K177" s="31"/>
      <c r="L177" s="32"/>
      <c r="M177" s="32"/>
      <c r="N177" s="33"/>
      <c r="O177" s="32"/>
      <c r="P177" s="32"/>
      <c r="Q177" s="32"/>
      <c r="R177" s="32"/>
      <c r="S177" s="32"/>
      <c r="T177" s="32"/>
      <c r="U177" s="32"/>
      <c r="V177" s="32"/>
      <c r="W177" s="32"/>
      <c r="X177" s="32"/>
      <c r="Y177" s="32"/>
      <c r="Z177" s="32"/>
      <c r="AA177" s="32"/>
    </row>
    <row r="178" spans="1:27" x14ac:dyDescent="0.25">
      <c r="A178" s="184"/>
      <c r="B178" s="190"/>
      <c r="C178" s="190"/>
      <c r="D178" s="190"/>
      <c r="E178" s="190"/>
      <c r="F178" s="190"/>
      <c r="G178" s="190"/>
      <c r="H178" s="190"/>
      <c r="I178" s="28" t="s">
        <v>31</v>
      </c>
      <c r="J178" s="27">
        <f>+J177</f>
        <v>28350000</v>
      </c>
      <c r="K178" s="31"/>
      <c r="L178" s="32"/>
      <c r="M178" s="32"/>
      <c r="N178" s="33"/>
      <c r="O178" s="32"/>
      <c r="P178" s="32"/>
      <c r="Q178" s="32"/>
      <c r="R178" s="32"/>
      <c r="S178" s="32"/>
      <c r="T178" s="32"/>
      <c r="U178" s="32"/>
      <c r="V178" s="32"/>
      <c r="W178" s="32"/>
      <c r="X178" s="32"/>
      <c r="Y178" s="32"/>
      <c r="Z178" s="32"/>
      <c r="AA178" s="32"/>
    </row>
    <row r="179" spans="1:27" x14ac:dyDescent="0.25">
      <c r="A179" s="183"/>
      <c r="B179" s="184"/>
      <c r="C179" s="184"/>
      <c r="D179" s="184"/>
      <c r="E179" s="184"/>
      <c r="F179" s="184"/>
      <c r="G179" s="184"/>
      <c r="H179" s="184"/>
      <c r="I179" s="184"/>
      <c r="J179" s="184"/>
      <c r="K179" s="31"/>
      <c r="L179" s="32"/>
      <c r="M179" s="32"/>
      <c r="N179" s="33"/>
      <c r="O179" s="32"/>
      <c r="P179" s="32"/>
      <c r="Q179" s="32"/>
      <c r="R179" s="32"/>
      <c r="S179" s="32"/>
      <c r="T179" s="32"/>
      <c r="U179" s="32"/>
      <c r="V179" s="32"/>
      <c r="W179" s="32"/>
      <c r="X179" s="32"/>
      <c r="Y179" s="32"/>
      <c r="Z179" s="32"/>
      <c r="AA179" s="32"/>
    </row>
    <row r="180" spans="1:27" x14ac:dyDescent="0.25">
      <c r="A180" s="53" t="s">
        <v>10</v>
      </c>
      <c r="B180" s="53" t="s">
        <v>11</v>
      </c>
      <c r="C180" s="29" t="s">
        <v>12</v>
      </c>
      <c r="D180" s="29" t="s">
        <v>13</v>
      </c>
      <c r="E180" s="53" t="s">
        <v>14</v>
      </c>
      <c r="F180" s="53" t="s">
        <v>15</v>
      </c>
      <c r="G180" s="53" t="s">
        <v>185</v>
      </c>
      <c r="H180" s="53" t="s">
        <v>185</v>
      </c>
      <c r="I180" s="53" t="s">
        <v>18</v>
      </c>
      <c r="J180" s="53" t="s">
        <v>19</v>
      </c>
      <c r="K180" s="31"/>
      <c r="L180" s="32"/>
      <c r="M180" s="32"/>
      <c r="N180" s="33"/>
      <c r="O180" s="32"/>
      <c r="P180" s="32"/>
      <c r="Q180" s="32"/>
      <c r="R180" s="32"/>
      <c r="S180" s="32"/>
      <c r="T180" s="32"/>
      <c r="U180" s="32"/>
      <c r="V180" s="32"/>
      <c r="W180" s="32"/>
      <c r="X180" s="32"/>
      <c r="Y180" s="32"/>
      <c r="Z180" s="32"/>
      <c r="AA180" s="32"/>
    </row>
    <row r="181" spans="1:27" x14ac:dyDescent="0.25">
      <c r="A181" s="196" t="s">
        <v>266</v>
      </c>
      <c r="B181" s="21" t="s">
        <v>263</v>
      </c>
      <c r="C181" s="191" t="s">
        <v>139</v>
      </c>
      <c r="D181" s="191"/>
      <c r="E181" s="191"/>
      <c r="F181" s="191"/>
      <c r="G181" s="191"/>
      <c r="H181" s="191"/>
      <c r="I181" s="191"/>
      <c r="J181" s="191"/>
      <c r="K181" s="31"/>
      <c r="L181" s="32"/>
      <c r="M181" s="32"/>
      <c r="N181" s="33"/>
      <c r="O181" s="32"/>
      <c r="P181" s="32"/>
      <c r="Q181" s="32"/>
      <c r="R181" s="32"/>
      <c r="S181" s="32"/>
      <c r="T181" s="32"/>
      <c r="U181" s="32"/>
      <c r="V181" s="32"/>
      <c r="W181" s="32"/>
      <c r="X181" s="32"/>
      <c r="Y181" s="32"/>
      <c r="Z181" s="32"/>
      <c r="AA181" s="32"/>
    </row>
    <row r="182" spans="1:27" x14ac:dyDescent="0.25">
      <c r="A182" s="184"/>
      <c r="B182" s="23"/>
      <c r="C182" s="96"/>
      <c r="D182" s="22" t="s">
        <v>140</v>
      </c>
      <c r="E182" s="23" t="s">
        <v>36</v>
      </c>
      <c r="F182" s="24">
        <f>(93.89+24)*0.1</f>
        <v>11.789000000000001</v>
      </c>
      <c r="G182" s="25" t="s">
        <v>40</v>
      </c>
      <c r="H182" s="25" t="s">
        <v>40</v>
      </c>
      <c r="I182" s="26">
        <v>300000</v>
      </c>
      <c r="J182" s="27">
        <f>I182*F182</f>
        <v>3536700.0000000005</v>
      </c>
      <c r="K182" s="31">
        <v>176</v>
      </c>
      <c r="L182" s="32"/>
      <c r="M182" s="32"/>
      <c r="N182" s="33"/>
      <c r="O182" s="32"/>
      <c r="P182" s="32"/>
      <c r="Q182" s="32"/>
      <c r="R182" s="32"/>
      <c r="S182" s="32"/>
      <c r="T182" s="32"/>
      <c r="U182" s="32"/>
      <c r="V182" s="32"/>
      <c r="W182" s="32"/>
      <c r="X182" s="32"/>
      <c r="Y182" s="32"/>
      <c r="Z182" s="32"/>
      <c r="AA182" s="32"/>
    </row>
    <row r="183" spans="1:27" ht="15" customHeight="1" x14ac:dyDescent="0.25">
      <c r="A183" s="184"/>
      <c r="B183" s="190"/>
      <c r="C183" s="190"/>
      <c r="D183" s="190"/>
      <c r="E183" s="190"/>
      <c r="F183" s="190"/>
      <c r="G183" s="190"/>
      <c r="H183" s="190"/>
      <c r="I183" s="28" t="s">
        <v>31</v>
      </c>
      <c r="J183" s="27">
        <f>SUM(J182)</f>
        <v>3536700.0000000005</v>
      </c>
      <c r="K183" s="31"/>
      <c r="L183" s="32"/>
      <c r="M183" s="32"/>
      <c r="N183" s="33"/>
      <c r="O183" s="32"/>
      <c r="P183" s="32"/>
      <c r="Q183" s="32"/>
      <c r="R183" s="32"/>
      <c r="S183" s="32"/>
      <c r="T183" s="32"/>
      <c r="U183" s="32"/>
      <c r="V183" s="32"/>
      <c r="W183" s="32"/>
      <c r="X183" s="32"/>
      <c r="Y183" s="32"/>
      <c r="Z183" s="32"/>
      <c r="AA183" s="32"/>
    </row>
    <row r="184" spans="1:27" x14ac:dyDescent="0.25">
      <c r="A184" s="183"/>
      <c r="B184" s="184"/>
      <c r="C184" s="184"/>
      <c r="D184" s="184"/>
      <c r="E184" s="184"/>
      <c r="F184" s="184"/>
      <c r="G184" s="184"/>
      <c r="H184" s="184"/>
      <c r="I184" s="184"/>
      <c r="J184" s="184"/>
      <c r="K184" s="31"/>
      <c r="L184" s="32"/>
      <c r="M184" s="32"/>
      <c r="N184" s="33"/>
      <c r="O184" s="32"/>
      <c r="P184" s="32"/>
      <c r="Q184" s="32"/>
      <c r="R184" s="32"/>
      <c r="S184" s="32"/>
      <c r="T184" s="32"/>
      <c r="U184" s="32"/>
      <c r="V184" s="32"/>
      <c r="W184" s="32"/>
      <c r="X184" s="32"/>
      <c r="Y184" s="32"/>
      <c r="Z184" s="32"/>
      <c r="AA184" s="32"/>
    </row>
    <row r="185" spans="1:27" x14ac:dyDescent="0.25">
      <c r="A185" s="53" t="s">
        <v>10</v>
      </c>
      <c r="B185" s="53" t="s">
        <v>11</v>
      </c>
      <c r="C185" s="29" t="s">
        <v>12</v>
      </c>
      <c r="D185" s="29" t="s">
        <v>13</v>
      </c>
      <c r="E185" s="53" t="s">
        <v>14</v>
      </c>
      <c r="F185" s="53" t="s">
        <v>15</v>
      </c>
      <c r="G185" s="53" t="s">
        <v>185</v>
      </c>
      <c r="H185" s="53" t="s">
        <v>185</v>
      </c>
      <c r="I185" s="53" t="s">
        <v>18</v>
      </c>
      <c r="J185" s="53" t="s">
        <v>19</v>
      </c>
      <c r="K185" s="31"/>
      <c r="L185" s="32"/>
      <c r="M185" s="32"/>
      <c r="N185" s="33"/>
      <c r="O185" s="32"/>
      <c r="P185" s="32"/>
      <c r="Q185" s="32"/>
      <c r="R185" s="32"/>
      <c r="S185" s="32"/>
      <c r="T185" s="32"/>
      <c r="U185" s="32"/>
      <c r="V185" s="32"/>
      <c r="W185" s="32"/>
      <c r="X185" s="32"/>
      <c r="Y185" s="32"/>
      <c r="Z185" s="32"/>
      <c r="AA185" s="32"/>
    </row>
    <row r="186" spans="1:27" x14ac:dyDescent="0.25">
      <c r="A186" s="196" t="s">
        <v>264</v>
      </c>
      <c r="B186" s="21" t="s">
        <v>265</v>
      </c>
      <c r="C186" s="191" t="s">
        <v>226</v>
      </c>
      <c r="D186" s="191"/>
      <c r="E186" s="23" t="s">
        <v>22</v>
      </c>
      <c r="F186" s="24">
        <v>1</v>
      </c>
      <c r="G186" s="22"/>
      <c r="H186" s="22"/>
      <c r="I186" s="30">
        <v>3350000</v>
      </c>
      <c r="J186" s="27">
        <f>I186*F186</f>
        <v>3350000</v>
      </c>
      <c r="K186" s="31"/>
      <c r="L186" s="32"/>
      <c r="M186" s="32"/>
      <c r="N186" s="33"/>
      <c r="O186" s="32"/>
      <c r="P186" s="32"/>
      <c r="Q186" s="32"/>
      <c r="R186" s="32"/>
      <c r="S186" s="32"/>
      <c r="T186" s="32"/>
      <c r="U186" s="32"/>
      <c r="V186" s="32"/>
      <c r="W186" s="32"/>
      <c r="X186" s="32"/>
      <c r="Y186" s="32"/>
      <c r="Z186" s="32"/>
      <c r="AA186" s="32"/>
    </row>
    <row r="187" spans="1:27" x14ac:dyDescent="0.25">
      <c r="A187" s="196"/>
      <c r="B187" s="21"/>
      <c r="C187" s="191" t="s">
        <v>250</v>
      </c>
      <c r="D187" s="191"/>
      <c r="E187" s="23" t="s">
        <v>192</v>
      </c>
      <c r="F187" s="24">
        <v>13</v>
      </c>
      <c r="G187" s="22"/>
      <c r="H187" s="22"/>
      <c r="I187" s="30">
        <v>400000</v>
      </c>
      <c r="J187" s="27">
        <f t="shared" ref="J187:J188" si="16">I187*F187</f>
        <v>5200000</v>
      </c>
      <c r="K187" s="31"/>
      <c r="L187" s="32"/>
      <c r="M187" s="32"/>
      <c r="N187" s="33"/>
      <c r="O187" s="32"/>
      <c r="P187" s="32"/>
      <c r="Q187" s="32"/>
      <c r="R187" s="32"/>
      <c r="S187" s="32"/>
      <c r="T187" s="32"/>
      <c r="U187" s="32"/>
      <c r="V187" s="32"/>
      <c r="W187" s="32"/>
      <c r="X187" s="32"/>
      <c r="Y187" s="32"/>
      <c r="Z187" s="32"/>
      <c r="AA187" s="32"/>
    </row>
    <row r="188" spans="1:27" ht="17.45" customHeight="1" x14ac:dyDescent="0.25">
      <c r="A188" s="184"/>
      <c r="B188" s="23"/>
      <c r="C188" s="191" t="s">
        <v>225</v>
      </c>
      <c r="D188" s="191"/>
      <c r="E188" s="23" t="s">
        <v>192</v>
      </c>
      <c r="F188" s="24">
        <v>5</v>
      </c>
      <c r="G188" s="25" t="s">
        <v>40</v>
      </c>
      <c r="H188" s="25" t="s">
        <v>40</v>
      </c>
      <c r="I188" s="30">
        <v>1000000</v>
      </c>
      <c r="J188" s="27">
        <f t="shared" si="16"/>
        <v>5000000</v>
      </c>
      <c r="K188" s="31"/>
      <c r="L188" s="32"/>
      <c r="M188" s="32"/>
      <c r="N188" s="33"/>
      <c r="O188" s="32"/>
      <c r="P188" s="32"/>
      <c r="Q188" s="32"/>
      <c r="R188" s="32"/>
      <c r="S188" s="32"/>
      <c r="T188" s="32"/>
      <c r="U188" s="32"/>
      <c r="V188" s="32"/>
      <c r="W188" s="32"/>
      <c r="X188" s="32"/>
      <c r="Y188" s="32"/>
      <c r="Z188" s="32"/>
      <c r="AA188" s="32"/>
    </row>
    <row r="189" spans="1:27" ht="17.45" customHeight="1" x14ac:dyDescent="0.25">
      <c r="A189" s="184"/>
      <c r="B189" s="190"/>
      <c r="C189" s="190"/>
      <c r="D189" s="190"/>
      <c r="E189" s="190"/>
      <c r="F189" s="190"/>
      <c r="G189" s="190"/>
      <c r="H189" s="190"/>
      <c r="I189" s="28" t="s">
        <v>31</v>
      </c>
      <c r="J189" s="27">
        <f>SUM(J186:J188)</f>
        <v>13550000</v>
      </c>
      <c r="K189" s="31"/>
      <c r="L189" s="32"/>
      <c r="M189" s="32"/>
      <c r="N189" s="33"/>
      <c r="O189" s="32"/>
      <c r="P189" s="32"/>
      <c r="Q189" s="32"/>
      <c r="R189" s="32"/>
      <c r="S189" s="32"/>
      <c r="T189" s="32"/>
      <c r="U189" s="32"/>
      <c r="V189" s="32"/>
      <c r="W189" s="32"/>
      <c r="X189" s="32"/>
      <c r="Y189" s="32"/>
      <c r="Z189" s="32"/>
      <c r="AA189" s="32"/>
    </row>
    <row r="190" spans="1:27" x14ac:dyDescent="0.25">
      <c r="A190" s="193"/>
      <c r="B190" s="194"/>
      <c r="C190" s="194"/>
      <c r="D190" s="194"/>
      <c r="E190" s="194"/>
      <c r="F190" s="194"/>
      <c r="G190" s="194"/>
      <c r="H190" s="194"/>
      <c r="I190" s="194"/>
      <c r="J190" s="195"/>
      <c r="K190" s="31"/>
      <c r="L190" s="32"/>
      <c r="M190" s="32"/>
      <c r="N190" s="33"/>
      <c r="O190" s="32"/>
      <c r="P190" s="32"/>
      <c r="Q190" s="32"/>
      <c r="R190" s="32"/>
      <c r="S190" s="32"/>
      <c r="T190" s="32"/>
      <c r="U190" s="32"/>
      <c r="V190" s="32"/>
      <c r="W190" s="32"/>
      <c r="X190" s="32"/>
      <c r="Y190" s="32"/>
      <c r="Z190" s="32"/>
      <c r="AA190" s="32"/>
    </row>
    <row r="191" spans="1:27" x14ac:dyDescent="0.25">
      <c r="A191" s="183"/>
      <c r="B191" s="184"/>
      <c r="C191" s="184"/>
      <c r="D191" s="184"/>
      <c r="E191" s="184"/>
      <c r="F191" s="184"/>
      <c r="G191" s="184"/>
      <c r="H191" s="184"/>
      <c r="I191" s="184"/>
      <c r="J191" s="184"/>
      <c r="K191" s="31"/>
      <c r="L191" s="32"/>
      <c r="M191" s="32"/>
      <c r="N191" s="33"/>
      <c r="O191" s="32"/>
      <c r="P191" s="32"/>
      <c r="Q191" s="32"/>
      <c r="R191" s="32"/>
      <c r="S191" s="32"/>
      <c r="T191" s="32"/>
      <c r="U191" s="32"/>
      <c r="V191" s="32"/>
      <c r="W191" s="32"/>
      <c r="X191" s="32"/>
      <c r="Y191" s="32"/>
      <c r="Z191" s="32"/>
      <c r="AA191" s="32"/>
    </row>
    <row r="192" spans="1:27" x14ac:dyDescent="0.25">
      <c r="A192" s="201"/>
      <c r="B192" s="201"/>
      <c r="C192" s="201"/>
      <c r="D192" s="201"/>
      <c r="E192" s="201"/>
      <c r="F192" s="185" t="s">
        <v>141</v>
      </c>
      <c r="G192" s="186"/>
      <c r="H192" s="186"/>
      <c r="I192" s="186"/>
      <c r="J192" s="97">
        <f>+J189+J183+J178+J173+J167+J162+J154+J148+J123+J117+J98+J92+J75+J70+J63+J51+J19</f>
        <v>154903909.80000001</v>
      </c>
      <c r="K192" s="31"/>
      <c r="L192" s="32"/>
      <c r="M192" s="32"/>
      <c r="N192" s="33"/>
      <c r="O192" s="32"/>
      <c r="P192" s="32"/>
      <c r="Q192" s="32"/>
      <c r="R192" s="32"/>
      <c r="S192" s="32"/>
      <c r="T192" s="32"/>
      <c r="U192" s="32"/>
      <c r="V192" s="32"/>
      <c r="W192" s="32"/>
      <c r="X192" s="32"/>
      <c r="Y192" s="32"/>
      <c r="Z192" s="32"/>
      <c r="AA192" s="32"/>
    </row>
    <row r="193" spans="1:27" ht="14.45" customHeight="1" x14ac:dyDescent="0.25">
      <c r="A193" s="191" t="s">
        <v>189</v>
      </c>
      <c r="B193" s="191"/>
      <c r="C193" s="191"/>
      <c r="D193" s="191" t="s">
        <v>190</v>
      </c>
      <c r="E193" s="191"/>
      <c r="F193" s="187" t="s">
        <v>253</v>
      </c>
      <c r="G193" s="184"/>
      <c r="H193" s="184"/>
      <c r="I193" s="184"/>
      <c r="J193" s="98">
        <f>J192*0.03</f>
        <v>4647117.2939999998</v>
      </c>
      <c r="K193" s="31"/>
      <c r="L193" s="32"/>
      <c r="M193" s="32"/>
      <c r="N193" s="33"/>
      <c r="O193" s="32"/>
      <c r="P193" s="32"/>
      <c r="Q193" s="32"/>
      <c r="R193" s="32"/>
      <c r="S193" s="32"/>
      <c r="T193" s="32"/>
      <c r="U193" s="32"/>
      <c r="V193" s="32"/>
      <c r="W193" s="32"/>
      <c r="X193" s="32"/>
      <c r="Y193" s="32"/>
      <c r="Z193" s="32"/>
      <c r="AA193" s="32"/>
    </row>
    <row r="194" spans="1:27" ht="14.45" customHeight="1" x14ac:dyDescent="0.25">
      <c r="A194" s="197" t="s">
        <v>191</v>
      </c>
      <c r="B194" s="197"/>
      <c r="C194" s="197"/>
      <c r="D194" s="198">
        <f>+J192/135</f>
        <v>1147436.368888889</v>
      </c>
      <c r="E194" s="198"/>
      <c r="F194" s="211" t="s">
        <v>142</v>
      </c>
      <c r="G194" s="184"/>
      <c r="H194" s="184"/>
      <c r="I194" s="184"/>
      <c r="J194" s="99">
        <f>+SUM(J192:J193)</f>
        <v>159551027.09400001</v>
      </c>
      <c r="K194" s="31"/>
      <c r="L194" s="32"/>
      <c r="M194" s="32"/>
      <c r="N194" s="33"/>
      <c r="O194" s="32"/>
      <c r="P194" s="32"/>
      <c r="Q194" s="32"/>
      <c r="R194" s="32"/>
      <c r="S194" s="32"/>
      <c r="T194" s="32"/>
      <c r="U194" s="32"/>
      <c r="V194" s="32"/>
      <c r="W194" s="32"/>
      <c r="X194" s="32"/>
      <c r="Y194" s="32"/>
      <c r="Z194" s="32"/>
      <c r="AA194" s="32"/>
    </row>
    <row r="195" spans="1:27" x14ac:dyDescent="0.25">
      <c r="A195" s="32"/>
      <c r="B195" s="32"/>
      <c r="C195" s="109"/>
      <c r="D195" s="46"/>
      <c r="E195" s="32"/>
      <c r="F195" s="47"/>
      <c r="G195" s="47"/>
      <c r="H195" s="47"/>
      <c r="I195" s="32"/>
      <c r="J195" s="32"/>
      <c r="K195" s="31"/>
      <c r="L195" s="32"/>
      <c r="M195" s="32"/>
      <c r="N195" s="33"/>
      <c r="O195" s="32"/>
      <c r="P195" s="32"/>
      <c r="Q195" s="32"/>
      <c r="R195" s="32"/>
      <c r="S195" s="32"/>
      <c r="T195" s="32"/>
      <c r="U195" s="32"/>
      <c r="V195" s="32"/>
      <c r="W195" s="32"/>
      <c r="X195" s="32"/>
      <c r="Y195" s="32"/>
      <c r="Z195" s="32"/>
      <c r="AA195" s="32"/>
    </row>
    <row r="196" spans="1:27" x14ac:dyDescent="0.25">
      <c r="A196" s="32" t="s">
        <v>227</v>
      </c>
      <c r="B196" s="32"/>
      <c r="C196" s="109"/>
      <c r="D196" s="46"/>
      <c r="E196" s="32"/>
      <c r="F196" s="47"/>
      <c r="G196" s="47"/>
      <c r="H196" s="47"/>
      <c r="I196" s="32"/>
      <c r="J196" s="32"/>
      <c r="K196" s="31"/>
      <c r="L196" s="32"/>
      <c r="M196" s="32"/>
      <c r="N196" s="33"/>
      <c r="O196" s="32"/>
      <c r="P196" s="32"/>
      <c r="Q196" s="32"/>
      <c r="R196" s="32"/>
      <c r="S196" s="32"/>
      <c r="T196" s="32"/>
      <c r="U196" s="32"/>
      <c r="V196" s="32"/>
      <c r="W196" s="32"/>
      <c r="X196" s="32"/>
      <c r="Y196" s="32"/>
      <c r="Z196" s="32"/>
      <c r="AA196" s="32"/>
    </row>
    <row r="197" spans="1:27" x14ac:dyDescent="0.25">
      <c r="A197" s="32" t="s">
        <v>228</v>
      </c>
      <c r="B197" s="32"/>
      <c r="C197" s="109"/>
      <c r="D197" s="46"/>
      <c r="E197" s="32"/>
      <c r="F197" s="47"/>
      <c r="G197" s="47"/>
      <c r="H197" s="47"/>
      <c r="I197" s="32"/>
      <c r="J197" s="32"/>
      <c r="K197" s="31"/>
      <c r="L197" s="32"/>
      <c r="M197" s="32"/>
      <c r="N197" s="33"/>
      <c r="O197" s="32"/>
      <c r="P197" s="32"/>
      <c r="Q197" s="32"/>
      <c r="R197" s="32"/>
      <c r="S197" s="32"/>
      <c r="T197" s="32"/>
      <c r="U197" s="32"/>
      <c r="V197" s="32"/>
      <c r="W197" s="32"/>
      <c r="X197" s="32"/>
      <c r="Y197" s="32"/>
      <c r="Z197" s="32"/>
      <c r="AA197" s="32"/>
    </row>
    <row r="198" spans="1:27" x14ac:dyDescent="0.25">
      <c r="A198" s="32" t="s">
        <v>229</v>
      </c>
      <c r="B198" s="32"/>
      <c r="C198" s="109"/>
      <c r="D198" s="46"/>
      <c r="E198" s="32"/>
      <c r="F198" s="47"/>
      <c r="G198" s="47"/>
      <c r="H198" s="47"/>
      <c r="I198" s="32"/>
      <c r="J198" s="32"/>
      <c r="K198" s="31"/>
      <c r="L198" s="32"/>
      <c r="M198" s="32"/>
      <c r="N198" s="33"/>
      <c r="O198" s="32"/>
      <c r="P198" s="32"/>
      <c r="Q198" s="32"/>
      <c r="R198" s="32"/>
      <c r="S198" s="32"/>
      <c r="T198" s="32"/>
      <c r="U198" s="32"/>
      <c r="V198" s="32"/>
      <c r="W198" s="32"/>
      <c r="X198" s="32"/>
      <c r="Y198" s="32"/>
      <c r="Z198" s="32"/>
      <c r="AA198" s="32"/>
    </row>
    <row r="199" spans="1:27" x14ac:dyDescent="0.25">
      <c r="A199" s="32" t="s">
        <v>230</v>
      </c>
      <c r="B199" s="47"/>
      <c r="C199" s="109"/>
      <c r="D199" s="42"/>
      <c r="E199" s="47"/>
      <c r="F199" s="47"/>
      <c r="G199" s="47"/>
      <c r="H199" s="47"/>
      <c r="I199" s="32"/>
      <c r="J199" s="32"/>
      <c r="K199" s="31"/>
      <c r="L199" s="32"/>
      <c r="M199" s="32"/>
      <c r="N199" s="33"/>
      <c r="O199" s="32"/>
      <c r="P199" s="32"/>
      <c r="Q199" s="32"/>
      <c r="R199" s="32"/>
      <c r="S199" s="32"/>
      <c r="T199" s="32"/>
      <c r="U199" s="32"/>
      <c r="V199" s="32"/>
      <c r="W199" s="32"/>
      <c r="X199" s="32"/>
      <c r="Y199" s="32"/>
      <c r="Z199" s="32"/>
      <c r="AA199" s="32"/>
    </row>
    <row r="200" spans="1:27" x14ac:dyDescent="0.25">
      <c r="A200" s="32" t="s">
        <v>231</v>
      </c>
      <c r="B200" s="47"/>
      <c r="C200" s="109"/>
      <c r="D200" s="42"/>
      <c r="E200" s="47"/>
      <c r="F200" s="47"/>
      <c r="G200" s="47"/>
      <c r="H200" s="47"/>
      <c r="I200" s="32"/>
      <c r="J200" s="32"/>
      <c r="K200" s="31"/>
      <c r="L200" s="32"/>
      <c r="M200" s="32"/>
      <c r="N200" s="33"/>
      <c r="O200" s="32"/>
      <c r="P200" s="32"/>
      <c r="Q200" s="32"/>
      <c r="R200" s="32"/>
      <c r="S200" s="32"/>
      <c r="T200" s="32"/>
      <c r="U200" s="32"/>
      <c r="V200" s="32"/>
      <c r="W200" s="32"/>
      <c r="X200" s="32"/>
      <c r="Y200" s="32"/>
      <c r="Z200" s="32"/>
      <c r="AA200" s="32"/>
    </row>
    <row r="201" spans="1:27" x14ac:dyDescent="0.25">
      <c r="A201" s="32" t="s">
        <v>232</v>
      </c>
      <c r="B201" s="47"/>
      <c r="C201" s="109"/>
      <c r="D201" s="42"/>
      <c r="E201" s="47"/>
      <c r="F201" s="47"/>
      <c r="G201" s="47"/>
      <c r="H201" s="47"/>
      <c r="I201" s="32"/>
      <c r="J201" s="32"/>
      <c r="K201" s="31"/>
      <c r="L201" s="32"/>
      <c r="M201" s="32"/>
      <c r="N201" s="33"/>
      <c r="O201" s="32"/>
      <c r="P201" s="32"/>
      <c r="Q201" s="32"/>
      <c r="R201" s="32"/>
      <c r="S201" s="32"/>
      <c r="T201" s="32"/>
      <c r="U201" s="32"/>
      <c r="V201" s="32"/>
      <c r="W201" s="32"/>
      <c r="X201" s="32"/>
      <c r="Y201" s="32"/>
      <c r="Z201" s="32"/>
      <c r="AA201" s="32"/>
    </row>
    <row r="202" spans="1:27" x14ac:dyDescent="0.25">
      <c r="A202" s="32" t="s">
        <v>241</v>
      </c>
      <c r="B202" s="47"/>
      <c r="C202" s="109"/>
      <c r="D202" s="42"/>
      <c r="E202" s="52"/>
      <c r="F202" s="47"/>
      <c r="G202" s="47"/>
      <c r="H202" s="47"/>
      <c r="I202" s="32"/>
      <c r="J202" s="32"/>
      <c r="K202" s="31"/>
      <c r="L202" s="32"/>
      <c r="M202" s="32"/>
      <c r="N202" s="33"/>
      <c r="O202" s="32"/>
      <c r="P202" s="32"/>
      <c r="Q202" s="32"/>
      <c r="R202" s="32"/>
      <c r="S202" s="32"/>
      <c r="T202" s="32"/>
      <c r="U202" s="32"/>
      <c r="V202" s="32"/>
      <c r="W202" s="32"/>
      <c r="X202" s="32"/>
      <c r="Y202" s="32"/>
      <c r="Z202" s="32"/>
      <c r="AA202" s="32"/>
    </row>
    <row r="203" spans="1:27" x14ac:dyDescent="0.25">
      <c r="A203" s="32" t="s">
        <v>248</v>
      </c>
      <c r="B203" s="47"/>
      <c r="C203" s="109"/>
      <c r="D203" s="42"/>
      <c r="E203" s="47"/>
      <c r="F203" s="47"/>
      <c r="G203" s="47"/>
      <c r="H203" s="47"/>
      <c r="I203" s="32"/>
      <c r="J203" s="32"/>
      <c r="K203" s="31"/>
      <c r="L203" s="32"/>
      <c r="M203" s="32"/>
      <c r="N203" s="33"/>
      <c r="O203" s="32"/>
      <c r="P203" s="32"/>
      <c r="Q203" s="32"/>
      <c r="R203" s="32"/>
      <c r="S203" s="32"/>
      <c r="T203" s="32"/>
      <c r="U203" s="32"/>
      <c r="V203" s="32"/>
      <c r="W203" s="32"/>
      <c r="X203" s="32"/>
      <c r="Y203" s="32"/>
      <c r="Z203" s="32"/>
      <c r="AA203" s="32"/>
    </row>
    <row r="204" spans="1:27" x14ac:dyDescent="0.25">
      <c r="A204" s="32" t="s">
        <v>249</v>
      </c>
      <c r="B204" s="47"/>
      <c r="C204" s="109"/>
      <c r="D204" s="42"/>
      <c r="E204" s="47"/>
      <c r="F204" s="47"/>
      <c r="G204" s="47"/>
      <c r="H204" s="47"/>
      <c r="I204" s="32"/>
      <c r="J204" s="32"/>
      <c r="K204" s="31"/>
      <c r="L204" s="32"/>
      <c r="M204" s="32"/>
      <c r="N204" s="33"/>
      <c r="O204" s="32"/>
      <c r="P204" s="32"/>
      <c r="Q204" s="32"/>
      <c r="R204" s="32"/>
      <c r="S204" s="32"/>
      <c r="T204" s="32"/>
      <c r="U204" s="32"/>
      <c r="V204" s="32"/>
      <c r="W204" s="32"/>
      <c r="X204" s="32"/>
      <c r="Y204" s="32"/>
      <c r="Z204" s="32"/>
      <c r="AA204" s="32"/>
    </row>
    <row r="205" spans="1:27" x14ac:dyDescent="0.25">
      <c r="A205" s="32"/>
      <c r="B205" s="47"/>
      <c r="C205" s="109"/>
      <c r="D205" s="42"/>
      <c r="E205" s="47"/>
      <c r="F205" s="47"/>
      <c r="G205" s="47"/>
      <c r="H205" s="47"/>
      <c r="I205" s="32"/>
      <c r="J205" s="32"/>
      <c r="K205" s="31"/>
      <c r="L205" s="32"/>
      <c r="M205" s="32"/>
      <c r="N205" s="33"/>
      <c r="O205" s="32"/>
      <c r="P205" s="32"/>
      <c r="Q205" s="32"/>
      <c r="R205" s="32"/>
      <c r="S205" s="32"/>
      <c r="T205" s="32"/>
      <c r="U205" s="32"/>
      <c r="V205" s="32"/>
      <c r="W205" s="32"/>
      <c r="X205" s="32"/>
      <c r="Y205" s="32"/>
      <c r="Z205" s="32"/>
      <c r="AA205" s="32"/>
    </row>
    <row r="206" spans="1:27" x14ac:dyDescent="0.25">
      <c r="A206" s="32"/>
      <c r="B206" s="47"/>
      <c r="C206" s="109"/>
      <c r="D206" s="42"/>
      <c r="E206" s="47"/>
      <c r="F206" s="47"/>
      <c r="G206" s="47"/>
      <c r="H206" s="47"/>
      <c r="I206" s="32"/>
      <c r="J206" s="32"/>
      <c r="K206" s="31"/>
      <c r="L206" s="32"/>
      <c r="M206" s="32"/>
      <c r="N206" s="33"/>
      <c r="O206" s="32"/>
      <c r="P206" s="32"/>
      <c r="Q206" s="32"/>
      <c r="R206" s="32"/>
      <c r="S206" s="32"/>
      <c r="T206" s="32"/>
      <c r="U206" s="32"/>
      <c r="V206" s="32"/>
      <c r="W206" s="32"/>
      <c r="X206" s="32"/>
      <c r="Y206" s="32"/>
      <c r="Z206" s="32"/>
      <c r="AA206" s="32"/>
    </row>
    <row r="207" spans="1:27" x14ac:dyDescent="0.25">
      <c r="A207" s="32"/>
      <c r="B207" s="47"/>
      <c r="C207" s="109"/>
      <c r="D207" s="42"/>
      <c r="E207" s="47"/>
      <c r="F207" s="47"/>
      <c r="G207" s="47"/>
      <c r="H207" s="47"/>
      <c r="I207" s="32"/>
      <c r="J207" s="32"/>
      <c r="K207" s="31"/>
      <c r="L207" s="32"/>
      <c r="M207" s="32"/>
      <c r="N207" s="33"/>
      <c r="O207" s="32"/>
      <c r="P207" s="32"/>
      <c r="Q207" s="32"/>
      <c r="R207" s="32"/>
      <c r="S207" s="32"/>
      <c r="T207" s="32"/>
      <c r="U207" s="32"/>
      <c r="V207" s="32"/>
      <c r="W207" s="32"/>
      <c r="X207" s="32"/>
      <c r="Y207" s="32"/>
      <c r="Z207" s="32"/>
      <c r="AA207" s="32"/>
    </row>
    <row r="208" spans="1:27" x14ac:dyDescent="0.25">
      <c r="A208" s="32"/>
      <c r="B208" s="47"/>
      <c r="C208" s="109"/>
      <c r="D208" s="42"/>
      <c r="E208" s="47"/>
      <c r="F208" s="47"/>
      <c r="G208" s="47"/>
      <c r="H208" s="47"/>
      <c r="I208" s="32"/>
      <c r="J208" s="32"/>
      <c r="K208" s="31"/>
      <c r="L208" s="32"/>
      <c r="M208" s="32"/>
      <c r="N208" s="33"/>
      <c r="O208" s="32"/>
      <c r="P208" s="32"/>
      <c r="Q208" s="32"/>
      <c r="R208" s="32"/>
      <c r="S208" s="32"/>
      <c r="T208" s="32"/>
      <c r="U208" s="32"/>
      <c r="V208" s="32"/>
      <c r="W208" s="32"/>
      <c r="X208" s="32"/>
      <c r="Y208" s="32"/>
      <c r="Z208" s="32"/>
      <c r="AA208" s="32"/>
    </row>
    <row r="209" spans="1:27" x14ac:dyDescent="0.25">
      <c r="A209" s="32"/>
      <c r="B209" s="47"/>
      <c r="C209" s="109"/>
      <c r="D209" s="42"/>
      <c r="E209" s="47"/>
      <c r="F209" s="47"/>
      <c r="G209" s="47"/>
      <c r="H209" s="47"/>
      <c r="I209" s="32"/>
      <c r="J209" s="32"/>
      <c r="K209" s="31"/>
      <c r="L209" s="32"/>
      <c r="M209" s="32"/>
      <c r="N209" s="33"/>
      <c r="O209" s="32"/>
      <c r="P209" s="32"/>
      <c r="Q209" s="32"/>
      <c r="R209" s="32"/>
      <c r="S209" s="32"/>
      <c r="T209" s="32"/>
      <c r="U209" s="32"/>
      <c r="V209" s="32"/>
      <c r="W209" s="32"/>
      <c r="X209" s="32"/>
      <c r="Y209" s="32"/>
      <c r="Z209" s="32"/>
      <c r="AA209" s="32"/>
    </row>
    <row r="210" spans="1:27" x14ac:dyDescent="0.25">
      <c r="A210" s="32"/>
      <c r="B210" s="47"/>
      <c r="C210" s="109"/>
      <c r="D210" s="42"/>
      <c r="E210" s="47"/>
      <c r="F210" s="47"/>
      <c r="G210" s="47"/>
      <c r="H210" s="47"/>
      <c r="I210" s="32"/>
      <c r="J210" s="32"/>
      <c r="K210" s="31"/>
      <c r="L210" s="32"/>
      <c r="M210" s="32"/>
      <c r="N210" s="33"/>
      <c r="O210" s="32"/>
      <c r="P210" s="32"/>
      <c r="Q210" s="32"/>
      <c r="R210" s="32"/>
      <c r="S210" s="32"/>
      <c r="T210" s="32"/>
      <c r="U210" s="32"/>
      <c r="V210" s="32"/>
      <c r="W210" s="32"/>
      <c r="X210" s="32"/>
      <c r="Y210" s="32"/>
      <c r="Z210" s="32"/>
      <c r="AA210" s="32"/>
    </row>
    <row r="211" spans="1:27" x14ac:dyDescent="0.25">
      <c r="A211" s="32"/>
      <c r="B211" s="47"/>
      <c r="C211" s="109"/>
      <c r="D211" s="42"/>
      <c r="E211" s="47"/>
      <c r="F211" s="47"/>
      <c r="G211" s="47"/>
      <c r="H211" s="47"/>
      <c r="I211" s="32"/>
      <c r="J211" s="32"/>
      <c r="K211" s="31"/>
      <c r="L211" s="32"/>
      <c r="M211" s="32"/>
      <c r="N211" s="33"/>
      <c r="O211" s="32"/>
      <c r="P211" s="32"/>
      <c r="Q211" s="32"/>
      <c r="R211" s="32"/>
      <c r="S211" s="32"/>
      <c r="T211" s="32"/>
      <c r="U211" s="32"/>
      <c r="V211" s="32"/>
      <c r="W211" s="32"/>
      <c r="X211" s="32"/>
      <c r="Y211" s="32"/>
      <c r="Z211" s="32"/>
      <c r="AA211" s="32"/>
    </row>
    <row r="212" spans="1:27" x14ac:dyDescent="0.25">
      <c r="A212" s="32"/>
      <c r="B212" s="47"/>
      <c r="C212" s="109"/>
      <c r="D212" s="42"/>
      <c r="E212" s="47"/>
      <c r="F212" s="47"/>
      <c r="G212" s="47"/>
      <c r="H212" s="47"/>
      <c r="I212" s="32"/>
      <c r="J212" s="32"/>
      <c r="K212" s="31"/>
      <c r="L212" s="32"/>
      <c r="M212" s="32"/>
      <c r="N212" s="33"/>
      <c r="O212" s="32"/>
      <c r="P212" s="32"/>
      <c r="Q212" s="32"/>
      <c r="R212" s="32"/>
      <c r="S212" s="32"/>
      <c r="T212" s="32"/>
      <c r="U212" s="32"/>
      <c r="V212" s="32"/>
      <c r="W212" s="32"/>
      <c r="X212" s="32"/>
      <c r="Y212" s="32"/>
      <c r="Z212" s="32"/>
      <c r="AA212" s="32"/>
    </row>
    <row r="213" spans="1:27" x14ac:dyDescent="0.25">
      <c r="A213" s="32"/>
      <c r="B213" s="47"/>
      <c r="C213" s="109"/>
      <c r="D213" s="42"/>
      <c r="E213" s="47"/>
      <c r="F213" s="47"/>
      <c r="G213" s="47"/>
      <c r="H213" s="47"/>
      <c r="I213" s="32"/>
      <c r="J213" s="32"/>
      <c r="K213" s="31"/>
      <c r="L213" s="32"/>
      <c r="M213" s="32"/>
      <c r="N213" s="33"/>
      <c r="O213" s="32"/>
      <c r="P213" s="32"/>
      <c r="Q213" s="32"/>
      <c r="R213" s="32"/>
      <c r="S213" s="32"/>
      <c r="T213" s="32"/>
      <c r="U213" s="32"/>
      <c r="V213" s="32"/>
      <c r="W213" s="32"/>
      <c r="X213" s="32"/>
      <c r="Y213" s="32"/>
      <c r="Z213" s="32"/>
      <c r="AA213" s="32"/>
    </row>
    <row r="214" spans="1:27" x14ac:dyDescent="0.25">
      <c r="A214" s="32"/>
      <c r="B214" s="47"/>
      <c r="C214" s="109"/>
      <c r="D214" s="42"/>
      <c r="E214" s="47"/>
      <c r="F214" s="47"/>
      <c r="G214" s="47"/>
      <c r="H214" s="47"/>
      <c r="I214" s="32"/>
      <c r="J214" s="32"/>
      <c r="K214" s="31"/>
      <c r="L214" s="32"/>
      <c r="M214" s="32"/>
      <c r="N214" s="33"/>
      <c r="O214" s="32"/>
      <c r="P214" s="32"/>
      <c r="Q214" s="32"/>
      <c r="R214" s="32"/>
      <c r="S214" s="32"/>
      <c r="T214" s="32"/>
      <c r="U214" s="32"/>
      <c r="V214" s="32"/>
      <c r="W214" s="32"/>
      <c r="X214" s="32"/>
      <c r="Y214" s="32"/>
      <c r="Z214" s="32"/>
      <c r="AA214" s="32"/>
    </row>
    <row r="215" spans="1:27" x14ac:dyDescent="0.25">
      <c r="A215" s="32"/>
      <c r="B215" s="47"/>
      <c r="C215" s="109"/>
      <c r="D215" s="42"/>
      <c r="E215" s="47"/>
      <c r="F215" s="47"/>
      <c r="G215" s="47"/>
      <c r="H215" s="47"/>
      <c r="I215" s="32"/>
      <c r="J215" s="32"/>
      <c r="K215" s="31"/>
      <c r="L215" s="32"/>
      <c r="M215" s="32"/>
      <c r="N215" s="33"/>
      <c r="O215" s="32"/>
      <c r="P215" s="32"/>
      <c r="Q215" s="32"/>
      <c r="R215" s="32"/>
      <c r="S215" s="32"/>
      <c r="T215" s="32"/>
      <c r="U215" s="32"/>
      <c r="V215" s="32"/>
      <c r="W215" s="32"/>
      <c r="X215" s="32"/>
      <c r="Y215" s="32"/>
      <c r="Z215" s="32"/>
      <c r="AA215" s="32"/>
    </row>
    <row r="216" spans="1:27" x14ac:dyDescent="0.25">
      <c r="A216" s="32"/>
      <c r="B216" s="47"/>
      <c r="C216" s="109"/>
      <c r="D216" s="42"/>
      <c r="E216" s="47"/>
      <c r="F216" s="47"/>
      <c r="G216" s="47"/>
      <c r="H216" s="47"/>
      <c r="I216" s="32"/>
      <c r="J216" s="32"/>
      <c r="K216" s="31"/>
      <c r="L216" s="32"/>
      <c r="M216" s="32"/>
      <c r="N216" s="33"/>
      <c r="O216" s="32"/>
      <c r="P216" s="32"/>
      <c r="Q216" s="32"/>
      <c r="R216" s="32"/>
      <c r="S216" s="32"/>
      <c r="T216" s="32"/>
      <c r="U216" s="32"/>
      <c r="V216" s="32"/>
      <c r="W216" s="32"/>
      <c r="X216" s="32"/>
      <c r="Y216" s="32"/>
      <c r="Z216" s="32"/>
      <c r="AA216" s="32"/>
    </row>
    <row r="217" spans="1:27" x14ac:dyDescent="0.25">
      <c r="A217" s="32"/>
      <c r="B217" s="47"/>
      <c r="C217" s="109"/>
      <c r="D217" s="42"/>
      <c r="E217" s="47"/>
      <c r="F217" s="47"/>
      <c r="G217" s="47"/>
      <c r="H217" s="47"/>
      <c r="I217" s="32"/>
      <c r="J217" s="32"/>
      <c r="K217" s="31"/>
      <c r="L217" s="32"/>
      <c r="M217" s="32"/>
      <c r="N217" s="33"/>
      <c r="O217" s="32"/>
      <c r="P217" s="32"/>
      <c r="Q217" s="32"/>
      <c r="R217" s="32"/>
      <c r="S217" s="32"/>
      <c r="T217" s="32"/>
      <c r="U217" s="32"/>
      <c r="V217" s="32"/>
      <c r="W217" s="32"/>
      <c r="X217" s="32"/>
      <c r="Y217" s="32"/>
      <c r="Z217" s="32"/>
      <c r="AA217" s="32"/>
    </row>
    <row r="218" spans="1:27" x14ac:dyDescent="0.25">
      <c r="A218" s="32"/>
      <c r="B218" s="47"/>
      <c r="C218" s="109"/>
      <c r="D218" s="42"/>
      <c r="E218" s="47"/>
      <c r="F218" s="47"/>
      <c r="G218" s="47"/>
      <c r="H218" s="47"/>
      <c r="I218" s="32"/>
      <c r="J218" s="32"/>
      <c r="K218" s="31"/>
      <c r="L218" s="32"/>
      <c r="M218" s="32"/>
      <c r="N218" s="33"/>
      <c r="O218" s="32"/>
      <c r="P218" s="32"/>
      <c r="Q218" s="32"/>
      <c r="R218" s="32"/>
      <c r="S218" s="32"/>
      <c r="T218" s="32"/>
      <c r="U218" s="32"/>
      <c r="V218" s="32"/>
      <c r="W218" s="32"/>
      <c r="X218" s="32"/>
      <c r="Y218" s="32"/>
      <c r="Z218" s="32"/>
      <c r="AA218" s="32"/>
    </row>
    <row r="219" spans="1:27" x14ac:dyDescent="0.25">
      <c r="A219" s="32"/>
      <c r="B219" s="47"/>
      <c r="C219" s="109"/>
      <c r="D219" s="42"/>
      <c r="E219" s="47"/>
      <c r="F219" s="47"/>
      <c r="G219" s="47"/>
      <c r="H219" s="47"/>
      <c r="I219" s="32"/>
      <c r="J219" s="32"/>
      <c r="K219" s="31"/>
      <c r="L219" s="32"/>
      <c r="M219" s="32"/>
      <c r="N219" s="33"/>
      <c r="O219" s="32"/>
      <c r="P219" s="32"/>
      <c r="Q219" s="32"/>
      <c r="R219" s="32"/>
      <c r="S219" s="32"/>
      <c r="T219" s="32"/>
      <c r="U219" s="32"/>
      <c r="V219" s="32"/>
      <c r="W219" s="32"/>
      <c r="X219" s="32"/>
      <c r="Y219" s="32"/>
      <c r="Z219" s="32"/>
      <c r="AA219" s="32"/>
    </row>
    <row r="220" spans="1:27" x14ac:dyDescent="0.25">
      <c r="A220" s="32"/>
      <c r="B220" s="47"/>
      <c r="C220" s="109"/>
      <c r="D220" s="42"/>
      <c r="E220" s="47"/>
      <c r="F220" s="47"/>
      <c r="G220" s="47"/>
      <c r="H220" s="47"/>
      <c r="I220" s="32"/>
      <c r="J220" s="32"/>
      <c r="K220" s="31"/>
      <c r="L220" s="32"/>
      <c r="M220" s="32"/>
      <c r="N220" s="33"/>
      <c r="O220" s="32"/>
      <c r="P220" s="32"/>
      <c r="Q220" s="32"/>
      <c r="R220" s="32"/>
      <c r="S220" s="32"/>
      <c r="T220" s="32"/>
      <c r="U220" s="32"/>
      <c r="V220" s="32"/>
      <c r="W220" s="32"/>
      <c r="X220" s="32"/>
      <c r="Y220" s="32"/>
      <c r="Z220" s="32"/>
      <c r="AA220" s="32"/>
    </row>
    <row r="221" spans="1:27" x14ac:dyDescent="0.25">
      <c r="A221" s="32"/>
      <c r="B221" s="47"/>
      <c r="C221" s="109"/>
      <c r="D221" s="42"/>
      <c r="E221" s="47"/>
      <c r="F221" s="47"/>
      <c r="G221" s="47"/>
      <c r="H221" s="47"/>
      <c r="I221" s="32"/>
      <c r="J221" s="32"/>
      <c r="K221" s="31"/>
      <c r="L221" s="32"/>
      <c r="M221" s="32"/>
      <c r="N221" s="33"/>
      <c r="O221" s="32"/>
      <c r="P221" s="32"/>
      <c r="Q221" s="32"/>
      <c r="R221" s="32"/>
      <c r="S221" s="32"/>
      <c r="T221" s="32"/>
      <c r="U221" s="32"/>
      <c r="V221" s="32"/>
      <c r="W221" s="32"/>
      <c r="X221" s="32"/>
      <c r="Y221" s="32"/>
      <c r="Z221" s="32"/>
      <c r="AA221" s="32"/>
    </row>
    <row r="222" spans="1:27" x14ac:dyDescent="0.25">
      <c r="A222" s="32"/>
      <c r="B222" s="47"/>
      <c r="C222" s="109"/>
      <c r="D222" s="42"/>
      <c r="E222" s="47"/>
      <c r="F222" s="47"/>
      <c r="G222" s="47"/>
      <c r="H222" s="47"/>
      <c r="I222" s="32"/>
      <c r="J222" s="32"/>
      <c r="K222" s="31"/>
      <c r="L222" s="32"/>
      <c r="M222" s="32"/>
      <c r="N222" s="33"/>
      <c r="O222" s="32"/>
      <c r="P222" s="32"/>
      <c r="Q222" s="32"/>
      <c r="R222" s="32"/>
      <c r="S222" s="32"/>
      <c r="T222" s="32"/>
      <c r="U222" s="32"/>
      <c r="V222" s="32"/>
      <c r="W222" s="32"/>
      <c r="X222" s="32"/>
      <c r="Y222" s="32"/>
      <c r="Z222" s="32"/>
      <c r="AA222" s="32"/>
    </row>
    <row r="223" spans="1:27" x14ac:dyDescent="0.25">
      <c r="A223" s="32"/>
      <c r="B223" s="47"/>
      <c r="C223" s="109"/>
      <c r="D223" s="42"/>
      <c r="E223" s="47"/>
      <c r="F223" s="47"/>
      <c r="G223" s="47"/>
      <c r="H223" s="47"/>
      <c r="I223" s="32"/>
      <c r="J223" s="32"/>
      <c r="K223" s="31"/>
      <c r="L223" s="32"/>
      <c r="M223" s="32"/>
      <c r="N223" s="33"/>
      <c r="O223" s="32"/>
      <c r="P223" s="32"/>
      <c r="Q223" s="32"/>
      <c r="R223" s="32"/>
      <c r="S223" s="32"/>
      <c r="T223" s="32"/>
      <c r="U223" s="32"/>
      <c r="V223" s="32"/>
      <c r="W223" s="32"/>
      <c r="X223" s="32"/>
      <c r="Y223" s="32"/>
      <c r="Z223" s="32"/>
      <c r="AA223" s="32"/>
    </row>
    <row r="224" spans="1:27" x14ac:dyDescent="0.25">
      <c r="A224" s="32"/>
      <c r="B224" s="47"/>
      <c r="C224" s="109"/>
      <c r="D224" s="42"/>
      <c r="E224" s="47"/>
      <c r="F224" s="47"/>
      <c r="G224" s="47"/>
      <c r="H224" s="47"/>
      <c r="I224" s="32"/>
      <c r="J224" s="32"/>
      <c r="K224" s="31"/>
      <c r="L224" s="32"/>
      <c r="M224" s="32"/>
      <c r="N224" s="33"/>
      <c r="O224" s="32"/>
      <c r="P224" s="32"/>
      <c r="Q224" s="32"/>
      <c r="R224" s="32"/>
      <c r="S224" s="32"/>
      <c r="T224" s="32"/>
      <c r="U224" s="32"/>
      <c r="V224" s="32"/>
      <c r="W224" s="32"/>
      <c r="X224" s="32"/>
      <c r="Y224" s="32"/>
      <c r="Z224" s="32"/>
      <c r="AA224" s="32"/>
    </row>
    <row r="225" spans="1:27" x14ac:dyDescent="0.25">
      <c r="A225" s="32"/>
      <c r="B225" s="47"/>
      <c r="C225" s="109"/>
      <c r="D225" s="42"/>
      <c r="E225" s="47"/>
      <c r="F225" s="47"/>
      <c r="G225" s="47"/>
      <c r="H225" s="47"/>
      <c r="I225" s="32"/>
      <c r="J225" s="32"/>
      <c r="K225" s="31"/>
      <c r="L225" s="32"/>
      <c r="M225" s="32"/>
      <c r="N225" s="33"/>
      <c r="O225" s="32"/>
      <c r="P225" s="32"/>
      <c r="Q225" s="32"/>
      <c r="R225" s="32"/>
      <c r="S225" s="32"/>
      <c r="T225" s="32"/>
      <c r="U225" s="32"/>
      <c r="V225" s="32"/>
      <c r="W225" s="32"/>
      <c r="X225" s="32"/>
      <c r="Y225" s="32"/>
      <c r="Z225" s="32"/>
      <c r="AA225" s="32"/>
    </row>
    <row r="226" spans="1:27" x14ac:dyDescent="0.25">
      <c r="A226" s="32"/>
      <c r="B226" s="47"/>
      <c r="C226" s="109"/>
      <c r="D226" s="42"/>
      <c r="E226" s="47"/>
      <c r="F226" s="47"/>
      <c r="G226" s="47"/>
      <c r="H226" s="47"/>
      <c r="I226" s="32"/>
      <c r="J226" s="32"/>
      <c r="K226" s="31"/>
      <c r="L226" s="32"/>
      <c r="M226" s="32"/>
      <c r="N226" s="33"/>
      <c r="O226" s="32"/>
      <c r="P226" s="32"/>
      <c r="Q226" s="32"/>
      <c r="R226" s="32"/>
      <c r="S226" s="32"/>
      <c r="T226" s="32"/>
      <c r="U226" s="32"/>
      <c r="V226" s="32"/>
      <c r="W226" s="32"/>
      <c r="X226" s="32"/>
      <c r="Y226" s="32"/>
      <c r="Z226" s="32"/>
      <c r="AA226" s="32"/>
    </row>
    <row r="227" spans="1:27" x14ac:dyDescent="0.25">
      <c r="A227" s="32"/>
      <c r="B227" s="47"/>
      <c r="C227" s="109"/>
      <c r="D227" s="42"/>
      <c r="E227" s="47"/>
      <c r="F227" s="47"/>
      <c r="G227" s="47"/>
      <c r="H227" s="47"/>
      <c r="I227" s="32"/>
      <c r="J227" s="32"/>
      <c r="K227" s="31"/>
      <c r="L227" s="32"/>
      <c r="M227" s="32"/>
      <c r="N227" s="33"/>
      <c r="O227" s="32"/>
      <c r="P227" s="32"/>
      <c r="Q227" s="32"/>
      <c r="R227" s="32"/>
      <c r="S227" s="32"/>
      <c r="T227" s="32"/>
      <c r="U227" s="32"/>
      <c r="V227" s="32"/>
      <c r="W227" s="32"/>
      <c r="X227" s="32"/>
      <c r="Y227" s="32"/>
      <c r="Z227" s="32"/>
      <c r="AA227" s="32"/>
    </row>
    <row r="228" spans="1:27" x14ac:dyDescent="0.25">
      <c r="A228" s="32"/>
      <c r="B228" s="47"/>
      <c r="C228" s="109"/>
      <c r="D228" s="42"/>
      <c r="E228" s="47"/>
      <c r="F228" s="47"/>
      <c r="G228" s="47"/>
      <c r="H228" s="47"/>
      <c r="I228" s="32"/>
      <c r="J228" s="32"/>
      <c r="K228" s="31"/>
      <c r="L228" s="32"/>
      <c r="M228" s="32"/>
      <c r="N228" s="33"/>
      <c r="O228" s="32"/>
      <c r="P228" s="32"/>
      <c r="Q228" s="32"/>
      <c r="R228" s="32"/>
      <c r="S228" s="32"/>
      <c r="T228" s="32"/>
      <c r="U228" s="32"/>
      <c r="V228" s="32"/>
      <c r="W228" s="32"/>
      <c r="X228" s="32"/>
      <c r="Y228" s="32"/>
      <c r="Z228" s="32"/>
      <c r="AA228" s="32"/>
    </row>
    <row r="229" spans="1:27" x14ac:dyDescent="0.25">
      <c r="A229" s="32"/>
      <c r="B229" s="47"/>
      <c r="C229" s="109"/>
      <c r="D229" s="42"/>
      <c r="E229" s="47"/>
      <c r="F229" s="47"/>
      <c r="G229" s="47"/>
      <c r="H229" s="47"/>
      <c r="I229" s="32"/>
      <c r="J229" s="32"/>
      <c r="K229" s="31"/>
      <c r="L229" s="32"/>
      <c r="M229" s="32"/>
      <c r="N229" s="33"/>
      <c r="O229" s="32"/>
      <c r="P229" s="32"/>
      <c r="Q229" s="32"/>
      <c r="R229" s="32"/>
      <c r="S229" s="32"/>
      <c r="T229" s="32"/>
      <c r="U229" s="32"/>
      <c r="V229" s="32"/>
      <c r="W229" s="32"/>
      <c r="X229" s="32"/>
      <c r="Y229" s="32"/>
      <c r="Z229" s="32"/>
      <c r="AA229" s="32"/>
    </row>
    <row r="230" spans="1:27" x14ac:dyDescent="0.25">
      <c r="A230" s="32"/>
      <c r="B230" s="47"/>
      <c r="C230" s="109"/>
      <c r="D230" s="42"/>
      <c r="E230" s="47"/>
      <c r="F230" s="47"/>
      <c r="G230" s="47"/>
      <c r="H230" s="47"/>
      <c r="I230" s="32"/>
      <c r="J230" s="32"/>
      <c r="K230" s="31"/>
      <c r="L230" s="32"/>
      <c r="M230" s="32"/>
      <c r="N230" s="33"/>
      <c r="O230" s="32"/>
      <c r="P230" s="32"/>
      <c r="Q230" s="32"/>
      <c r="R230" s="32"/>
      <c r="S230" s="32"/>
      <c r="T230" s="32"/>
      <c r="U230" s="32"/>
      <c r="V230" s="32"/>
      <c r="W230" s="32"/>
      <c r="X230" s="32"/>
      <c r="Y230" s="32"/>
      <c r="Z230" s="32"/>
      <c r="AA230" s="32"/>
    </row>
    <row r="231" spans="1:27" x14ac:dyDescent="0.25">
      <c r="A231" s="32"/>
      <c r="B231" s="47"/>
      <c r="C231" s="109"/>
      <c r="D231" s="42"/>
      <c r="E231" s="47"/>
      <c r="F231" s="47"/>
      <c r="G231" s="47"/>
      <c r="H231" s="47"/>
      <c r="I231" s="32"/>
      <c r="J231" s="32"/>
      <c r="K231" s="31"/>
      <c r="L231" s="32"/>
      <c r="M231" s="32"/>
      <c r="N231" s="33"/>
      <c r="O231" s="32"/>
      <c r="P231" s="32"/>
      <c r="Q231" s="32"/>
      <c r="R231" s="32"/>
      <c r="S231" s="32"/>
      <c r="T231" s="32"/>
      <c r="U231" s="32"/>
      <c r="V231" s="32"/>
      <c r="W231" s="32"/>
      <c r="X231" s="32"/>
      <c r="Y231" s="32"/>
      <c r="Z231" s="32"/>
      <c r="AA231" s="32"/>
    </row>
    <row r="232" spans="1:27" x14ac:dyDescent="0.25">
      <c r="A232" s="32"/>
      <c r="B232" s="47"/>
      <c r="C232" s="109"/>
      <c r="D232" s="42"/>
      <c r="E232" s="47"/>
      <c r="F232" s="47"/>
      <c r="G232" s="47"/>
      <c r="H232" s="47"/>
      <c r="I232" s="32"/>
      <c r="J232" s="32"/>
      <c r="K232" s="31"/>
      <c r="L232" s="32"/>
      <c r="M232" s="32"/>
      <c r="N232" s="33"/>
      <c r="O232" s="32"/>
      <c r="P232" s="32"/>
      <c r="Q232" s="32"/>
      <c r="R232" s="32"/>
      <c r="S232" s="32"/>
      <c r="T232" s="32"/>
      <c r="U232" s="32"/>
      <c r="V232" s="32"/>
      <c r="W232" s="32"/>
      <c r="X232" s="32"/>
      <c r="Y232" s="32"/>
      <c r="Z232" s="32"/>
      <c r="AA232" s="32"/>
    </row>
    <row r="233" spans="1:27" x14ac:dyDescent="0.25">
      <c r="A233" s="32"/>
      <c r="B233" s="47"/>
      <c r="C233" s="109"/>
      <c r="D233" s="42"/>
      <c r="E233" s="47"/>
      <c r="F233" s="47"/>
      <c r="G233" s="47"/>
      <c r="H233" s="47"/>
      <c r="I233" s="32"/>
      <c r="J233" s="32"/>
      <c r="K233" s="31"/>
      <c r="L233" s="32"/>
      <c r="M233" s="32"/>
      <c r="N233" s="33"/>
      <c r="O233" s="32"/>
      <c r="P233" s="32"/>
      <c r="Q233" s="32"/>
      <c r="R233" s="32"/>
      <c r="S233" s="32"/>
      <c r="T233" s="32"/>
      <c r="U233" s="32"/>
      <c r="V233" s="32"/>
      <c r="W233" s="32"/>
      <c r="X233" s="32"/>
      <c r="Y233" s="32"/>
      <c r="Z233" s="32"/>
      <c r="AA233" s="32"/>
    </row>
    <row r="234" spans="1:27" x14ac:dyDescent="0.25">
      <c r="A234" s="32"/>
      <c r="B234" s="47"/>
      <c r="C234" s="109"/>
      <c r="D234" s="42"/>
      <c r="E234" s="47"/>
      <c r="F234" s="47"/>
      <c r="G234" s="47"/>
      <c r="H234" s="47"/>
      <c r="I234" s="32"/>
      <c r="J234" s="32"/>
      <c r="K234" s="31"/>
      <c r="L234" s="32"/>
      <c r="M234" s="32"/>
      <c r="N234" s="33"/>
      <c r="O234" s="32"/>
      <c r="P234" s="32"/>
      <c r="Q234" s="32"/>
      <c r="R234" s="32"/>
      <c r="S234" s="32"/>
      <c r="T234" s="32"/>
      <c r="U234" s="32"/>
      <c r="V234" s="32"/>
      <c r="W234" s="32"/>
      <c r="X234" s="32"/>
      <c r="Y234" s="32"/>
      <c r="Z234" s="32"/>
      <c r="AA234" s="32"/>
    </row>
    <row r="235" spans="1:27" x14ac:dyDescent="0.25">
      <c r="A235" s="32"/>
      <c r="B235" s="47"/>
      <c r="C235" s="109"/>
      <c r="D235" s="42"/>
      <c r="E235" s="47"/>
      <c r="F235" s="47"/>
      <c r="G235" s="47"/>
      <c r="H235" s="47"/>
      <c r="I235" s="32"/>
      <c r="J235" s="32"/>
      <c r="K235" s="31"/>
      <c r="L235" s="32"/>
      <c r="M235" s="32"/>
      <c r="N235" s="33"/>
      <c r="O235" s="32"/>
      <c r="P235" s="32"/>
      <c r="Q235" s="32"/>
      <c r="R235" s="32"/>
      <c r="S235" s="32"/>
      <c r="T235" s="32"/>
      <c r="U235" s="32"/>
      <c r="V235" s="32"/>
      <c r="W235" s="32"/>
      <c r="X235" s="32"/>
      <c r="Y235" s="32"/>
      <c r="Z235" s="32"/>
      <c r="AA235" s="32"/>
    </row>
    <row r="236" spans="1:27" x14ac:dyDescent="0.25">
      <c r="A236" s="32"/>
      <c r="B236" s="47"/>
      <c r="C236" s="109"/>
      <c r="D236" s="42"/>
      <c r="E236" s="47"/>
      <c r="F236" s="47"/>
      <c r="G236" s="47"/>
      <c r="H236" s="47"/>
      <c r="I236" s="32"/>
      <c r="J236" s="32"/>
      <c r="K236" s="31"/>
      <c r="L236" s="32"/>
      <c r="M236" s="32"/>
      <c r="N236" s="33"/>
      <c r="O236" s="32"/>
      <c r="P236" s="32"/>
      <c r="Q236" s="32"/>
      <c r="R236" s="32"/>
      <c r="S236" s="32"/>
      <c r="T236" s="32"/>
      <c r="U236" s="32"/>
      <c r="V236" s="32"/>
      <c r="W236" s="32"/>
      <c r="X236" s="32"/>
      <c r="Y236" s="32"/>
      <c r="Z236" s="32"/>
      <c r="AA236" s="32"/>
    </row>
    <row r="237" spans="1:27" x14ac:dyDescent="0.25">
      <c r="A237" s="32"/>
      <c r="B237" s="47"/>
      <c r="C237" s="109"/>
      <c r="D237" s="42"/>
      <c r="E237" s="47"/>
      <c r="F237" s="47"/>
      <c r="G237" s="47"/>
      <c r="H237" s="47"/>
      <c r="I237" s="32"/>
      <c r="J237" s="32"/>
      <c r="K237" s="31"/>
      <c r="L237" s="32"/>
      <c r="M237" s="32"/>
      <c r="N237" s="33"/>
      <c r="O237" s="32"/>
      <c r="P237" s="32"/>
      <c r="Q237" s="32"/>
      <c r="R237" s="32"/>
      <c r="S237" s="32"/>
      <c r="T237" s="32"/>
      <c r="U237" s="32"/>
      <c r="V237" s="32"/>
      <c r="W237" s="32"/>
      <c r="X237" s="32"/>
      <c r="Y237" s="32"/>
      <c r="Z237" s="32"/>
      <c r="AA237" s="32"/>
    </row>
    <row r="238" spans="1:27" x14ac:dyDescent="0.25">
      <c r="A238" s="32"/>
      <c r="B238" s="47"/>
      <c r="C238" s="109"/>
      <c r="D238" s="42"/>
      <c r="E238" s="47"/>
      <c r="F238" s="47"/>
      <c r="G238" s="47"/>
      <c r="H238" s="47"/>
      <c r="I238" s="32"/>
      <c r="J238" s="32"/>
      <c r="K238" s="31"/>
      <c r="L238" s="32"/>
      <c r="M238" s="32"/>
      <c r="N238" s="33"/>
      <c r="O238" s="32"/>
      <c r="P238" s="32"/>
      <c r="Q238" s="32"/>
      <c r="R238" s="32"/>
      <c r="S238" s="32"/>
      <c r="T238" s="32"/>
      <c r="U238" s="32"/>
      <c r="V238" s="32"/>
      <c r="W238" s="32"/>
      <c r="X238" s="32"/>
      <c r="Y238" s="32"/>
      <c r="Z238" s="32"/>
      <c r="AA238" s="32"/>
    </row>
    <row r="239" spans="1:27" x14ac:dyDescent="0.25">
      <c r="A239" s="32"/>
      <c r="B239" s="47"/>
      <c r="C239" s="109"/>
      <c r="D239" s="42"/>
      <c r="E239" s="47"/>
      <c r="F239" s="47"/>
      <c r="G239" s="47"/>
      <c r="H239" s="47"/>
      <c r="I239" s="32"/>
      <c r="J239" s="32"/>
      <c r="K239" s="31"/>
      <c r="L239" s="32"/>
      <c r="M239" s="32"/>
      <c r="N239" s="33"/>
      <c r="O239" s="32"/>
      <c r="P239" s="32"/>
      <c r="Q239" s="32"/>
      <c r="R239" s="32"/>
      <c r="S239" s="32"/>
      <c r="T239" s="32"/>
      <c r="U239" s="32"/>
      <c r="V239" s="32"/>
      <c r="W239" s="32"/>
      <c r="X239" s="32"/>
      <c r="Y239" s="32"/>
      <c r="Z239" s="32"/>
      <c r="AA239" s="32"/>
    </row>
    <row r="240" spans="1:27" x14ac:dyDescent="0.25">
      <c r="A240" s="32"/>
      <c r="B240" s="47"/>
      <c r="C240" s="109"/>
      <c r="D240" s="42"/>
      <c r="E240" s="47"/>
      <c r="F240" s="47"/>
      <c r="G240" s="47"/>
      <c r="H240" s="47"/>
      <c r="I240" s="32"/>
      <c r="J240" s="32"/>
      <c r="K240" s="31"/>
      <c r="L240" s="32"/>
      <c r="M240" s="32"/>
      <c r="N240" s="33"/>
      <c r="O240" s="32"/>
      <c r="P240" s="32"/>
      <c r="Q240" s="32"/>
      <c r="R240" s="32"/>
      <c r="S240" s="32"/>
      <c r="T240" s="32"/>
      <c r="U240" s="32"/>
      <c r="V240" s="32"/>
      <c r="W240" s="32"/>
      <c r="X240" s="32"/>
      <c r="Y240" s="32"/>
      <c r="Z240" s="32"/>
      <c r="AA240" s="32"/>
    </row>
    <row r="241" spans="1:27" x14ac:dyDescent="0.25">
      <c r="A241" s="32"/>
      <c r="B241" s="47"/>
      <c r="C241" s="109"/>
      <c r="D241" s="42"/>
      <c r="E241" s="47"/>
      <c r="F241" s="47"/>
      <c r="G241" s="47"/>
      <c r="H241" s="47"/>
      <c r="I241" s="32"/>
      <c r="J241" s="32"/>
      <c r="K241" s="31"/>
      <c r="L241" s="32"/>
      <c r="M241" s="32"/>
      <c r="N241" s="33"/>
      <c r="O241" s="32"/>
      <c r="P241" s="32"/>
      <c r="Q241" s="32"/>
      <c r="R241" s="32"/>
      <c r="S241" s="32"/>
      <c r="T241" s="32"/>
      <c r="U241" s="32"/>
      <c r="V241" s="32"/>
      <c r="W241" s="32"/>
      <c r="X241" s="32"/>
      <c r="Y241" s="32"/>
      <c r="Z241" s="32"/>
      <c r="AA241" s="32"/>
    </row>
    <row r="242" spans="1:27" x14ac:dyDescent="0.25">
      <c r="A242" s="32"/>
      <c r="B242" s="47"/>
      <c r="C242" s="109"/>
      <c r="D242" s="42"/>
      <c r="E242" s="47"/>
      <c r="F242" s="47"/>
      <c r="G242" s="47"/>
      <c r="H242" s="47"/>
      <c r="I242" s="32"/>
      <c r="J242" s="32"/>
      <c r="K242" s="31"/>
      <c r="L242" s="32"/>
      <c r="M242" s="32"/>
      <c r="N242" s="33"/>
      <c r="O242" s="32"/>
      <c r="P242" s="32"/>
      <c r="Q242" s="32"/>
      <c r="R242" s="32"/>
      <c r="S242" s="32"/>
      <c r="T242" s="32"/>
      <c r="U242" s="32"/>
      <c r="V242" s="32"/>
      <c r="W242" s="32"/>
      <c r="X242" s="32"/>
      <c r="Y242" s="32"/>
      <c r="Z242" s="32"/>
      <c r="AA242" s="32"/>
    </row>
    <row r="243" spans="1:27" x14ac:dyDescent="0.25">
      <c r="A243" s="32"/>
      <c r="B243" s="47"/>
      <c r="C243" s="109"/>
      <c r="D243" s="42"/>
      <c r="E243" s="47"/>
      <c r="F243" s="47"/>
      <c r="G243" s="47"/>
      <c r="H243" s="47"/>
      <c r="I243" s="32"/>
      <c r="J243" s="32"/>
      <c r="K243" s="31"/>
      <c r="L243" s="32"/>
      <c r="M243" s="32"/>
      <c r="N243" s="33"/>
      <c r="O243" s="32"/>
      <c r="P243" s="32"/>
      <c r="Q243" s="32"/>
      <c r="R243" s="32"/>
      <c r="S243" s="32"/>
      <c r="T243" s="32"/>
      <c r="U243" s="32"/>
      <c r="V243" s="32"/>
      <c r="W243" s="32"/>
      <c r="X243" s="32"/>
      <c r="Y243" s="32"/>
      <c r="Z243" s="32"/>
      <c r="AA243" s="32"/>
    </row>
    <row r="244" spans="1:27" x14ac:dyDescent="0.25">
      <c r="A244" s="32"/>
      <c r="B244" s="47"/>
      <c r="C244" s="109"/>
      <c r="D244" s="42"/>
      <c r="E244" s="47"/>
      <c r="F244" s="47"/>
      <c r="G244" s="47"/>
      <c r="H244" s="47"/>
      <c r="I244" s="32"/>
      <c r="J244" s="32"/>
      <c r="K244" s="31"/>
      <c r="L244" s="32"/>
      <c r="M244" s="32"/>
      <c r="N244" s="33"/>
      <c r="O244" s="32"/>
      <c r="P244" s="32"/>
      <c r="Q244" s="32"/>
      <c r="R244" s="32"/>
      <c r="S244" s="32"/>
      <c r="T244" s="32"/>
      <c r="U244" s="32"/>
      <c r="V244" s="32"/>
      <c r="W244" s="32"/>
      <c r="X244" s="32"/>
      <c r="Y244" s="32"/>
      <c r="Z244" s="32"/>
      <c r="AA244" s="32"/>
    </row>
    <row r="245" spans="1:27" x14ac:dyDescent="0.25">
      <c r="A245" s="32"/>
      <c r="B245" s="47"/>
      <c r="C245" s="109"/>
      <c r="D245" s="42"/>
      <c r="E245" s="47"/>
      <c r="F245" s="47"/>
      <c r="G245" s="47"/>
      <c r="H245" s="47"/>
      <c r="I245" s="32"/>
      <c r="J245" s="32"/>
      <c r="K245" s="31"/>
      <c r="L245" s="32"/>
      <c r="M245" s="32"/>
      <c r="N245" s="33"/>
      <c r="O245" s="32"/>
      <c r="P245" s="32"/>
      <c r="Q245" s="32"/>
      <c r="R245" s="32"/>
      <c r="S245" s="32"/>
      <c r="T245" s="32"/>
      <c r="U245" s="32"/>
      <c r="V245" s="32"/>
      <c r="W245" s="32"/>
      <c r="X245" s="32"/>
      <c r="Y245" s="32"/>
      <c r="Z245" s="32"/>
      <c r="AA245" s="32"/>
    </row>
    <row r="246" spans="1:27" x14ac:dyDescent="0.25">
      <c r="A246" s="32"/>
      <c r="B246" s="47"/>
      <c r="C246" s="109"/>
      <c r="D246" s="42"/>
      <c r="E246" s="47"/>
      <c r="F246" s="47"/>
      <c r="G246" s="47"/>
      <c r="H246" s="47"/>
      <c r="I246" s="32"/>
      <c r="J246" s="32"/>
      <c r="K246" s="31"/>
      <c r="L246" s="32"/>
      <c r="M246" s="32"/>
      <c r="N246" s="33"/>
      <c r="O246" s="32"/>
      <c r="P246" s="32"/>
      <c r="Q246" s="32"/>
      <c r="R246" s="32"/>
      <c r="S246" s="32"/>
      <c r="T246" s="32"/>
      <c r="U246" s="32"/>
      <c r="V246" s="32"/>
      <c r="W246" s="32"/>
      <c r="X246" s="32"/>
      <c r="Y246" s="32"/>
      <c r="Z246" s="32"/>
      <c r="AA246" s="32"/>
    </row>
    <row r="247" spans="1:27" x14ac:dyDescent="0.25">
      <c r="A247" s="32"/>
      <c r="B247" s="47"/>
      <c r="C247" s="109"/>
      <c r="D247" s="42"/>
      <c r="E247" s="47"/>
      <c r="F247" s="47"/>
      <c r="G247" s="47"/>
      <c r="H247" s="47"/>
      <c r="I247" s="32"/>
      <c r="J247" s="32"/>
      <c r="K247" s="31"/>
      <c r="L247" s="32"/>
      <c r="M247" s="32"/>
      <c r="N247" s="33"/>
      <c r="O247" s="32"/>
      <c r="P247" s="32"/>
      <c r="Q247" s="32"/>
      <c r="R247" s="32"/>
      <c r="S247" s="32"/>
      <c r="T247" s="32"/>
      <c r="U247" s="32"/>
      <c r="V247" s="32"/>
      <c r="W247" s="32"/>
      <c r="X247" s="32"/>
      <c r="Y247" s="32"/>
      <c r="Z247" s="32"/>
      <c r="AA247" s="32"/>
    </row>
    <row r="248" spans="1:27" x14ac:dyDescent="0.25">
      <c r="A248" s="32"/>
      <c r="B248" s="47"/>
      <c r="C248" s="109"/>
      <c r="D248" s="42"/>
      <c r="E248" s="47"/>
      <c r="F248" s="47"/>
      <c r="G248" s="47"/>
      <c r="H248" s="47"/>
      <c r="I248" s="32"/>
      <c r="J248" s="32"/>
      <c r="K248" s="31"/>
      <c r="L248" s="32"/>
      <c r="M248" s="32"/>
      <c r="N248" s="33"/>
      <c r="O248" s="32"/>
      <c r="P248" s="32"/>
      <c r="Q248" s="32"/>
      <c r="R248" s="32"/>
      <c r="S248" s="32"/>
      <c r="T248" s="32"/>
      <c r="U248" s="32"/>
      <c r="V248" s="32"/>
      <c r="W248" s="32"/>
      <c r="X248" s="32"/>
      <c r="Y248" s="32"/>
      <c r="Z248" s="32"/>
      <c r="AA248" s="32"/>
    </row>
    <row r="249" spans="1:27" x14ac:dyDescent="0.25">
      <c r="A249" s="32"/>
      <c r="B249" s="47"/>
      <c r="C249" s="109"/>
      <c r="D249" s="42"/>
      <c r="E249" s="47"/>
      <c r="F249" s="47"/>
      <c r="G249" s="47"/>
      <c r="H249" s="47"/>
      <c r="I249" s="32"/>
      <c r="J249" s="32"/>
      <c r="K249" s="31"/>
      <c r="L249" s="32"/>
      <c r="M249" s="32"/>
      <c r="N249" s="33"/>
      <c r="O249" s="32"/>
      <c r="P249" s="32"/>
      <c r="Q249" s="32"/>
      <c r="R249" s="32"/>
      <c r="S249" s="32"/>
      <c r="T249" s="32"/>
      <c r="U249" s="32"/>
      <c r="V249" s="32"/>
      <c r="W249" s="32"/>
      <c r="X249" s="32"/>
      <c r="Y249" s="32"/>
      <c r="Z249" s="32"/>
      <c r="AA249" s="32"/>
    </row>
    <row r="250" spans="1:27" x14ac:dyDescent="0.25">
      <c r="A250" s="32"/>
      <c r="B250" s="47"/>
      <c r="C250" s="109"/>
      <c r="D250" s="42"/>
      <c r="E250" s="47"/>
      <c r="F250" s="47"/>
      <c r="G250" s="47"/>
      <c r="H250" s="47"/>
      <c r="I250" s="32"/>
      <c r="J250" s="32"/>
      <c r="K250" s="31"/>
      <c r="L250" s="32"/>
      <c r="M250" s="32"/>
      <c r="N250" s="33"/>
      <c r="O250" s="32"/>
      <c r="P250" s="32"/>
      <c r="Q250" s="32"/>
      <c r="R250" s="32"/>
      <c r="S250" s="32"/>
      <c r="T250" s="32"/>
      <c r="U250" s="32"/>
      <c r="V250" s="32"/>
      <c r="W250" s="32"/>
      <c r="X250" s="32"/>
      <c r="Y250" s="32"/>
      <c r="Z250" s="32"/>
      <c r="AA250" s="32"/>
    </row>
    <row r="251" spans="1:27" x14ac:dyDescent="0.25">
      <c r="A251" s="32"/>
      <c r="B251" s="47"/>
      <c r="C251" s="109"/>
      <c r="D251" s="42"/>
      <c r="E251" s="47"/>
      <c r="F251" s="47"/>
      <c r="G251" s="47"/>
      <c r="H251" s="47"/>
      <c r="I251" s="32"/>
      <c r="J251" s="32"/>
      <c r="K251" s="31"/>
      <c r="L251" s="32"/>
      <c r="M251" s="32"/>
      <c r="N251" s="33"/>
      <c r="O251" s="32"/>
      <c r="P251" s="32"/>
      <c r="Q251" s="32"/>
      <c r="R251" s="32"/>
      <c r="S251" s="32"/>
      <c r="T251" s="32"/>
      <c r="U251" s="32"/>
      <c r="V251" s="32"/>
      <c r="W251" s="32"/>
      <c r="X251" s="32"/>
      <c r="Y251" s="32"/>
      <c r="Z251" s="32"/>
      <c r="AA251" s="32"/>
    </row>
    <row r="252" spans="1:27" x14ac:dyDescent="0.25">
      <c r="A252" s="32"/>
      <c r="B252" s="47"/>
      <c r="C252" s="109"/>
      <c r="D252" s="42"/>
      <c r="E252" s="47"/>
      <c r="F252" s="47"/>
      <c r="G252" s="47"/>
      <c r="H252" s="47"/>
      <c r="I252" s="32"/>
      <c r="J252" s="32"/>
      <c r="K252" s="31"/>
      <c r="L252" s="32"/>
      <c r="M252" s="32"/>
      <c r="N252" s="33"/>
      <c r="O252" s="32"/>
      <c r="P252" s="32"/>
      <c r="Q252" s="32"/>
      <c r="R252" s="32"/>
      <c r="S252" s="32"/>
      <c r="T252" s="32"/>
      <c r="U252" s="32"/>
      <c r="V252" s="32"/>
      <c r="W252" s="32"/>
      <c r="X252" s="32"/>
      <c r="Y252" s="32"/>
      <c r="Z252" s="32"/>
      <c r="AA252" s="32"/>
    </row>
    <row r="253" spans="1:27" x14ac:dyDescent="0.25">
      <c r="A253" s="32"/>
      <c r="B253" s="47"/>
      <c r="C253" s="109"/>
      <c r="D253" s="42"/>
      <c r="E253" s="47"/>
      <c r="F253" s="47"/>
      <c r="G253" s="47"/>
      <c r="H253" s="47"/>
      <c r="I253" s="32"/>
      <c r="J253" s="32"/>
      <c r="K253" s="31"/>
      <c r="L253" s="32"/>
      <c r="M253" s="32"/>
      <c r="N253" s="33"/>
      <c r="O253" s="32"/>
      <c r="P253" s="32"/>
      <c r="Q253" s="32"/>
      <c r="R253" s="32"/>
      <c r="S253" s="32"/>
      <c r="T253" s="32"/>
      <c r="U253" s="32"/>
      <c r="V253" s="32"/>
      <c r="W253" s="32"/>
      <c r="X253" s="32"/>
      <c r="Y253" s="32"/>
      <c r="Z253" s="32"/>
      <c r="AA253" s="32"/>
    </row>
    <row r="254" spans="1:27" x14ac:dyDescent="0.25">
      <c r="A254" s="32"/>
      <c r="B254" s="47"/>
      <c r="C254" s="109"/>
      <c r="D254" s="42"/>
      <c r="E254" s="47"/>
      <c r="F254" s="47"/>
      <c r="G254" s="47"/>
      <c r="H254" s="47"/>
      <c r="I254" s="32"/>
      <c r="J254" s="32"/>
      <c r="K254" s="31"/>
      <c r="L254" s="32"/>
      <c r="M254" s="32"/>
      <c r="N254" s="33"/>
      <c r="O254" s="32"/>
      <c r="P254" s="32"/>
      <c r="Q254" s="32"/>
      <c r="R254" s="32"/>
      <c r="S254" s="32"/>
      <c r="T254" s="32"/>
      <c r="U254" s="32"/>
      <c r="V254" s="32"/>
      <c r="W254" s="32"/>
      <c r="X254" s="32"/>
      <c r="Y254" s="32"/>
      <c r="Z254" s="32"/>
      <c r="AA254" s="32"/>
    </row>
    <row r="255" spans="1:27" x14ac:dyDescent="0.25">
      <c r="A255" s="32"/>
      <c r="B255" s="47"/>
      <c r="C255" s="109"/>
      <c r="D255" s="42"/>
      <c r="E255" s="47"/>
      <c r="F255" s="47"/>
      <c r="G255" s="47"/>
      <c r="H255" s="47"/>
      <c r="I255" s="32"/>
      <c r="J255" s="32"/>
      <c r="K255" s="31"/>
      <c r="L255" s="32"/>
      <c r="M255" s="32"/>
      <c r="N255" s="33"/>
      <c r="O255" s="32"/>
      <c r="P255" s="32"/>
      <c r="Q255" s="32"/>
      <c r="R255" s="32"/>
      <c r="S255" s="32"/>
      <c r="T255" s="32"/>
      <c r="U255" s="32"/>
      <c r="V255" s="32"/>
      <c r="W255" s="32"/>
      <c r="X255" s="32"/>
      <c r="Y255" s="32"/>
      <c r="Z255" s="32"/>
      <c r="AA255" s="32"/>
    </row>
    <row r="256" spans="1:27" x14ac:dyDescent="0.25">
      <c r="A256" s="32"/>
      <c r="B256" s="47"/>
      <c r="C256" s="109"/>
      <c r="D256" s="42"/>
      <c r="E256" s="47"/>
      <c r="F256" s="47"/>
      <c r="G256" s="47"/>
      <c r="H256" s="47"/>
      <c r="I256" s="32"/>
      <c r="J256" s="32"/>
      <c r="K256" s="31"/>
      <c r="L256" s="32"/>
      <c r="M256" s="32"/>
      <c r="N256" s="33"/>
      <c r="O256" s="32"/>
      <c r="P256" s="32"/>
      <c r="Q256" s="32"/>
      <c r="R256" s="32"/>
      <c r="S256" s="32"/>
      <c r="T256" s="32"/>
      <c r="U256" s="32"/>
      <c r="V256" s="32"/>
      <c r="W256" s="32"/>
      <c r="X256" s="32"/>
      <c r="Y256" s="32"/>
      <c r="Z256" s="32"/>
      <c r="AA256" s="32"/>
    </row>
    <row r="257" spans="1:27" x14ac:dyDescent="0.25">
      <c r="A257" s="32"/>
      <c r="B257" s="47"/>
      <c r="C257" s="109"/>
      <c r="D257" s="42"/>
      <c r="E257" s="47"/>
      <c r="F257" s="47"/>
      <c r="G257" s="47"/>
      <c r="H257" s="47"/>
      <c r="I257" s="32"/>
      <c r="J257" s="32"/>
      <c r="K257" s="31"/>
      <c r="L257" s="32"/>
      <c r="M257" s="32"/>
      <c r="N257" s="33"/>
      <c r="O257" s="32"/>
      <c r="P257" s="32"/>
      <c r="Q257" s="32"/>
      <c r="R257" s="32"/>
      <c r="S257" s="32"/>
      <c r="T257" s="32"/>
      <c r="U257" s="32"/>
      <c r="V257" s="32"/>
      <c r="W257" s="32"/>
      <c r="X257" s="32"/>
      <c r="Y257" s="32"/>
      <c r="Z257" s="32"/>
      <c r="AA257" s="32"/>
    </row>
    <row r="258" spans="1:27" x14ac:dyDescent="0.25">
      <c r="A258" s="32"/>
      <c r="B258" s="47"/>
      <c r="C258" s="109"/>
      <c r="D258" s="42"/>
      <c r="E258" s="47"/>
      <c r="F258" s="47"/>
      <c r="G258" s="47"/>
      <c r="H258" s="47"/>
      <c r="I258" s="32"/>
      <c r="J258" s="32"/>
      <c r="K258" s="31"/>
      <c r="L258" s="32"/>
      <c r="M258" s="32"/>
      <c r="N258" s="33"/>
      <c r="O258" s="32"/>
      <c r="P258" s="32"/>
      <c r="Q258" s="32"/>
      <c r="R258" s="32"/>
      <c r="S258" s="32"/>
      <c r="T258" s="32"/>
      <c r="U258" s="32"/>
      <c r="V258" s="32"/>
      <c r="W258" s="32"/>
      <c r="X258" s="32"/>
      <c r="Y258" s="32"/>
      <c r="Z258" s="32"/>
      <c r="AA258" s="32"/>
    </row>
    <row r="259" spans="1:27" x14ac:dyDescent="0.25">
      <c r="A259" s="32"/>
      <c r="B259" s="47"/>
      <c r="C259" s="109"/>
      <c r="D259" s="42"/>
      <c r="E259" s="47"/>
      <c r="F259" s="47"/>
      <c r="G259" s="47"/>
      <c r="H259" s="47"/>
      <c r="I259" s="32"/>
      <c r="J259" s="32"/>
      <c r="K259" s="31"/>
      <c r="L259" s="32"/>
      <c r="M259" s="32"/>
      <c r="N259" s="33"/>
      <c r="O259" s="32"/>
      <c r="P259" s="32"/>
      <c r="Q259" s="32"/>
      <c r="R259" s="32"/>
      <c r="S259" s="32"/>
      <c r="T259" s="32"/>
      <c r="U259" s="32"/>
      <c r="V259" s="32"/>
      <c r="W259" s="32"/>
      <c r="X259" s="32"/>
      <c r="Y259" s="32"/>
      <c r="Z259" s="32"/>
      <c r="AA259" s="32"/>
    </row>
    <row r="260" spans="1:27" x14ac:dyDescent="0.25">
      <c r="A260" s="32"/>
      <c r="B260" s="47"/>
      <c r="C260" s="109"/>
      <c r="D260" s="42"/>
      <c r="E260" s="47"/>
      <c r="F260" s="47"/>
      <c r="G260" s="47"/>
      <c r="H260" s="47"/>
      <c r="I260" s="32"/>
      <c r="J260" s="32"/>
      <c r="K260" s="31"/>
      <c r="L260" s="32"/>
      <c r="M260" s="32"/>
      <c r="N260" s="33"/>
      <c r="O260" s="32"/>
      <c r="P260" s="32"/>
      <c r="Q260" s="32"/>
      <c r="R260" s="32"/>
      <c r="S260" s="32"/>
      <c r="T260" s="32"/>
      <c r="U260" s="32"/>
      <c r="V260" s="32"/>
      <c r="W260" s="32"/>
      <c r="X260" s="32"/>
      <c r="Y260" s="32"/>
      <c r="Z260" s="32"/>
      <c r="AA260" s="32"/>
    </row>
    <row r="261" spans="1:27" x14ac:dyDescent="0.25">
      <c r="A261" s="32"/>
      <c r="B261" s="47"/>
      <c r="C261" s="109"/>
      <c r="D261" s="42"/>
      <c r="E261" s="47"/>
      <c r="F261" s="47"/>
      <c r="G261" s="47"/>
      <c r="H261" s="47"/>
      <c r="I261" s="32"/>
      <c r="J261" s="32"/>
      <c r="K261" s="31"/>
      <c r="L261" s="32"/>
      <c r="M261" s="32"/>
      <c r="N261" s="33"/>
      <c r="O261" s="32"/>
      <c r="P261" s="32"/>
      <c r="Q261" s="32"/>
      <c r="R261" s="32"/>
      <c r="S261" s="32"/>
      <c r="T261" s="32"/>
      <c r="U261" s="32"/>
      <c r="V261" s="32"/>
      <c r="W261" s="32"/>
      <c r="X261" s="32"/>
      <c r="Y261" s="32"/>
      <c r="Z261" s="32"/>
      <c r="AA261" s="32"/>
    </row>
    <row r="262" spans="1:27" x14ac:dyDescent="0.25">
      <c r="A262" s="32"/>
      <c r="B262" s="47"/>
      <c r="C262" s="109"/>
      <c r="D262" s="42"/>
      <c r="E262" s="47"/>
      <c r="F262" s="47"/>
      <c r="G262" s="47"/>
      <c r="H262" s="47"/>
      <c r="I262" s="32"/>
      <c r="J262" s="32"/>
      <c r="K262" s="31"/>
      <c r="L262" s="32"/>
      <c r="M262" s="32"/>
      <c r="N262" s="33"/>
      <c r="O262" s="32"/>
      <c r="P262" s="32"/>
      <c r="Q262" s="32"/>
      <c r="R262" s="32"/>
      <c r="S262" s="32"/>
      <c r="T262" s="32"/>
      <c r="U262" s="32"/>
      <c r="V262" s="32"/>
      <c r="W262" s="32"/>
      <c r="X262" s="32"/>
      <c r="Y262" s="32"/>
      <c r="Z262" s="32"/>
      <c r="AA262" s="32"/>
    </row>
    <row r="263" spans="1:27" x14ac:dyDescent="0.25">
      <c r="A263" s="32"/>
      <c r="B263" s="47"/>
      <c r="C263" s="109"/>
      <c r="D263" s="42"/>
      <c r="E263" s="47"/>
      <c r="F263" s="47"/>
      <c r="G263" s="47"/>
      <c r="H263" s="47"/>
      <c r="I263" s="32"/>
      <c r="J263" s="32"/>
      <c r="K263" s="31"/>
      <c r="L263" s="32"/>
      <c r="M263" s="32"/>
      <c r="N263" s="33"/>
      <c r="O263" s="32"/>
      <c r="P263" s="32"/>
      <c r="Q263" s="32"/>
      <c r="R263" s="32"/>
      <c r="S263" s="32"/>
      <c r="T263" s="32"/>
      <c r="U263" s="32"/>
      <c r="V263" s="32"/>
      <c r="W263" s="32"/>
      <c r="X263" s="32"/>
      <c r="Y263" s="32"/>
      <c r="Z263" s="32"/>
      <c r="AA263" s="32"/>
    </row>
    <row r="264" spans="1:27" x14ac:dyDescent="0.25">
      <c r="A264" s="32"/>
      <c r="B264" s="47"/>
      <c r="C264" s="109"/>
      <c r="D264" s="42"/>
      <c r="E264" s="47"/>
      <c r="F264" s="47"/>
      <c r="G264" s="47"/>
      <c r="H264" s="47"/>
      <c r="I264" s="32"/>
      <c r="J264" s="32"/>
      <c r="K264" s="31"/>
      <c r="L264" s="32"/>
      <c r="M264" s="32"/>
      <c r="N264" s="33"/>
      <c r="O264" s="32"/>
      <c r="P264" s="32"/>
      <c r="Q264" s="32"/>
      <c r="R264" s="32"/>
      <c r="S264" s="32"/>
      <c r="T264" s="32"/>
      <c r="U264" s="32"/>
      <c r="V264" s="32"/>
      <c r="W264" s="32"/>
      <c r="X264" s="32"/>
      <c r="Y264" s="32"/>
      <c r="Z264" s="32"/>
      <c r="AA264" s="32"/>
    </row>
    <row r="265" spans="1:27" x14ac:dyDescent="0.25">
      <c r="A265" s="32"/>
      <c r="B265" s="47"/>
      <c r="C265" s="109"/>
      <c r="D265" s="42"/>
      <c r="E265" s="47"/>
      <c r="F265" s="47"/>
      <c r="G265" s="47"/>
      <c r="H265" s="47"/>
      <c r="I265" s="32"/>
      <c r="J265" s="32"/>
      <c r="K265" s="31"/>
      <c r="L265" s="32"/>
      <c r="M265" s="32"/>
      <c r="N265" s="33"/>
      <c r="O265" s="32"/>
      <c r="P265" s="32"/>
      <c r="Q265" s="32"/>
      <c r="R265" s="32"/>
      <c r="S265" s="32"/>
      <c r="T265" s="32"/>
      <c r="U265" s="32"/>
      <c r="V265" s="32"/>
      <c r="W265" s="32"/>
      <c r="X265" s="32"/>
      <c r="Y265" s="32"/>
      <c r="Z265" s="32"/>
      <c r="AA265" s="32"/>
    </row>
    <row r="266" spans="1:27" x14ac:dyDescent="0.25">
      <c r="A266" s="32"/>
      <c r="B266" s="47"/>
      <c r="C266" s="109"/>
      <c r="D266" s="42"/>
      <c r="E266" s="47"/>
      <c r="F266" s="47"/>
      <c r="G266" s="47"/>
      <c r="H266" s="47"/>
      <c r="I266" s="32"/>
      <c r="J266" s="32"/>
      <c r="K266" s="31"/>
      <c r="L266" s="32"/>
      <c r="M266" s="32"/>
      <c r="N266" s="33"/>
      <c r="O266" s="32"/>
      <c r="P266" s="32"/>
      <c r="Q266" s="32"/>
      <c r="R266" s="32"/>
      <c r="S266" s="32"/>
      <c r="T266" s="32"/>
      <c r="U266" s="32"/>
      <c r="V266" s="32"/>
      <c r="W266" s="32"/>
      <c r="X266" s="32"/>
      <c r="Y266" s="32"/>
      <c r="Z266" s="32"/>
      <c r="AA266" s="32"/>
    </row>
    <row r="267" spans="1:27" x14ac:dyDescent="0.25">
      <c r="A267" s="32"/>
      <c r="B267" s="47"/>
      <c r="C267" s="109"/>
      <c r="D267" s="42"/>
      <c r="E267" s="47"/>
      <c r="F267" s="47"/>
      <c r="G267" s="47"/>
      <c r="H267" s="47"/>
      <c r="I267" s="32"/>
      <c r="J267" s="32"/>
      <c r="K267" s="31"/>
      <c r="L267" s="32"/>
      <c r="M267" s="32"/>
      <c r="N267" s="33"/>
      <c r="O267" s="32"/>
      <c r="P267" s="32"/>
      <c r="Q267" s="32"/>
      <c r="R267" s="32"/>
      <c r="S267" s="32"/>
      <c r="T267" s="32"/>
      <c r="U267" s="32"/>
      <c r="V267" s="32"/>
      <c r="W267" s="32"/>
      <c r="X267" s="32"/>
      <c r="Y267" s="32"/>
      <c r="Z267" s="32"/>
      <c r="AA267" s="32"/>
    </row>
    <row r="268" spans="1:27" x14ac:dyDescent="0.25">
      <c r="A268" s="32"/>
      <c r="B268" s="47"/>
      <c r="C268" s="109"/>
      <c r="D268" s="42"/>
      <c r="E268" s="47"/>
      <c r="F268" s="47"/>
      <c r="G268" s="47"/>
      <c r="H268" s="47"/>
      <c r="I268" s="32"/>
      <c r="J268" s="32"/>
      <c r="K268" s="31"/>
      <c r="L268" s="32"/>
      <c r="M268" s="32"/>
      <c r="N268" s="33"/>
      <c r="O268" s="32"/>
      <c r="P268" s="32"/>
      <c r="Q268" s="32"/>
      <c r="R268" s="32"/>
      <c r="S268" s="32"/>
      <c r="T268" s="32"/>
      <c r="U268" s="32"/>
      <c r="V268" s="32"/>
      <c r="W268" s="32"/>
      <c r="X268" s="32"/>
      <c r="Y268" s="32"/>
      <c r="Z268" s="32"/>
      <c r="AA268" s="32"/>
    </row>
    <row r="269" spans="1:27" x14ac:dyDescent="0.25">
      <c r="A269" s="32"/>
      <c r="B269" s="47"/>
      <c r="C269" s="109"/>
      <c r="D269" s="42"/>
      <c r="E269" s="47"/>
      <c r="F269" s="47"/>
      <c r="G269" s="47"/>
      <c r="H269" s="47"/>
      <c r="I269" s="32"/>
      <c r="J269" s="32"/>
      <c r="K269" s="31"/>
      <c r="L269" s="32"/>
      <c r="M269" s="32"/>
      <c r="N269" s="33"/>
      <c r="O269" s="32"/>
      <c r="P269" s="32"/>
      <c r="Q269" s="32"/>
      <c r="R269" s="32"/>
      <c r="S269" s="32"/>
      <c r="T269" s="32"/>
      <c r="U269" s="32"/>
      <c r="V269" s="32"/>
      <c r="W269" s="32"/>
      <c r="X269" s="32"/>
      <c r="Y269" s="32"/>
      <c r="Z269" s="32"/>
      <c r="AA269" s="32"/>
    </row>
    <row r="270" spans="1:27" x14ac:dyDescent="0.25">
      <c r="A270" s="32"/>
      <c r="B270" s="47"/>
      <c r="C270" s="109"/>
      <c r="D270" s="42"/>
      <c r="E270" s="47"/>
      <c r="F270" s="47"/>
      <c r="G270" s="47"/>
      <c r="H270" s="47"/>
      <c r="I270" s="32"/>
      <c r="J270" s="32"/>
      <c r="K270" s="31"/>
      <c r="L270" s="32"/>
      <c r="M270" s="32"/>
      <c r="N270" s="33"/>
      <c r="O270" s="32"/>
      <c r="P270" s="32"/>
      <c r="Q270" s="32"/>
      <c r="R270" s="32"/>
      <c r="S270" s="32"/>
      <c r="T270" s="32"/>
      <c r="U270" s="32"/>
      <c r="V270" s="32"/>
      <c r="W270" s="32"/>
      <c r="X270" s="32"/>
      <c r="Y270" s="32"/>
      <c r="Z270" s="32"/>
      <c r="AA270" s="32"/>
    </row>
    <row r="271" spans="1:27" x14ac:dyDescent="0.25">
      <c r="A271" s="32"/>
      <c r="B271" s="47"/>
      <c r="C271" s="109"/>
      <c r="D271" s="42"/>
      <c r="E271" s="47"/>
      <c r="F271" s="47"/>
      <c r="G271" s="47"/>
      <c r="H271" s="47"/>
      <c r="I271" s="32"/>
      <c r="J271" s="32"/>
      <c r="K271" s="31"/>
      <c r="L271" s="32"/>
      <c r="M271" s="32"/>
      <c r="N271" s="33"/>
      <c r="O271" s="32"/>
      <c r="P271" s="32"/>
      <c r="Q271" s="32"/>
      <c r="R271" s="32"/>
      <c r="S271" s="32"/>
      <c r="T271" s="32"/>
      <c r="U271" s="32"/>
      <c r="V271" s="32"/>
      <c r="W271" s="32"/>
      <c r="X271" s="32"/>
      <c r="Y271" s="32"/>
      <c r="Z271" s="32"/>
      <c r="AA271" s="32"/>
    </row>
    <row r="272" spans="1:27" x14ac:dyDescent="0.25">
      <c r="A272" s="32"/>
      <c r="B272" s="47"/>
      <c r="C272" s="109"/>
      <c r="D272" s="42"/>
      <c r="E272" s="47"/>
      <c r="F272" s="47"/>
      <c r="G272" s="47"/>
      <c r="H272" s="47"/>
      <c r="I272" s="32"/>
      <c r="J272" s="32"/>
      <c r="K272" s="31"/>
      <c r="L272" s="32"/>
      <c r="M272" s="32"/>
      <c r="N272" s="33"/>
      <c r="O272" s="32"/>
      <c r="P272" s="32"/>
      <c r="Q272" s="32"/>
      <c r="R272" s="32"/>
      <c r="S272" s="32"/>
      <c r="T272" s="32"/>
      <c r="U272" s="32"/>
      <c r="V272" s="32"/>
      <c r="W272" s="32"/>
      <c r="X272" s="32"/>
      <c r="Y272" s="32"/>
      <c r="Z272" s="32"/>
      <c r="AA272" s="32"/>
    </row>
    <row r="273" spans="1:27" x14ac:dyDescent="0.25">
      <c r="A273" s="32"/>
      <c r="B273" s="47"/>
      <c r="C273" s="109"/>
      <c r="D273" s="42"/>
      <c r="E273" s="47"/>
      <c r="F273" s="47"/>
      <c r="G273" s="47"/>
      <c r="H273" s="47"/>
      <c r="I273" s="32"/>
      <c r="J273" s="32"/>
      <c r="K273" s="31"/>
      <c r="L273" s="32"/>
      <c r="M273" s="32"/>
      <c r="N273" s="33"/>
      <c r="O273" s="32"/>
      <c r="P273" s="32"/>
      <c r="Q273" s="32"/>
      <c r="R273" s="32"/>
      <c r="S273" s="32"/>
      <c r="T273" s="32"/>
      <c r="U273" s="32"/>
      <c r="V273" s="32"/>
      <c r="W273" s="32"/>
      <c r="X273" s="32"/>
      <c r="Y273" s="32"/>
      <c r="Z273" s="32"/>
      <c r="AA273" s="32"/>
    </row>
    <row r="274" spans="1:27" x14ac:dyDescent="0.25">
      <c r="A274" s="32"/>
      <c r="B274" s="47"/>
      <c r="C274" s="109"/>
      <c r="D274" s="42"/>
      <c r="E274" s="47"/>
      <c r="F274" s="47"/>
      <c r="G274" s="47"/>
      <c r="H274" s="47"/>
      <c r="I274" s="32"/>
      <c r="J274" s="32"/>
      <c r="K274" s="31"/>
      <c r="L274" s="32"/>
      <c r="M274" s="32"/>
      <c r="N274" s="33"/>
      <c r="O274" s="32"/>
      <c r="P274" s="32"/>
      <c r="Q274" s="32"/>
      <c r="R274" s="32"/>
      <c r="S274" s="32"/>
      <c r="T274" s="32"/>
      <c r="U274" s="32"/>
      <c r="V274" s="32"/>
      <c r="W274" s="32"/>
      <c r="X274" s="32"/>
      <c r="Y274" s="32"/>
      <c r="Z274" s="32"/>
      <c r="AA274" s="32"/>
    </row>
    <row r="275" spans="1:27" x14ac:dyDescent="0.25">
      <c r="A275" s="32"/>
      <c r="B275" s="47"/>
      <c r="C275" s="109"/>
      <c r="D275" s="42"/>
      <c r="E275" s="47"/>
      <c r="F275" s="47"/>
      <c r="G275" s="47"/>
      <c r="H275" s="47"/>
      <c r="I275" s="32"/>
      <c r="J275" s="32"/>
      <c r="K275" s="31"/>
      <c r="L275" s="32"/>
      <c r="M275" s="32"/>
      <c r="N275" s="33"/>
      <c r="O275" s="32"/>
      <c r="P275" s="32"/>
      <c r="Q275" s="32"/>
      <c r="R275" s="32"/>
      <c r="S275" s="32"/>
      <c r="T275" s="32"/>
      <c r="U275" s="32"/>
      <c r="V275" s="32"/>
      <c r="W275" s="32"/>
      <c r="X275" s="32"/>
      <c r="Y275" s="32"/>
      <c r="Z275" s="32"/>
      <c r="AA275" s="32"/>
    </row>
    <row r="276" spans="1:27" x14ac:dyDescent="0.25">
      <c r="A276" s="32"/>
      <c r="B276" s="47"/>
      <c r="C276" s="109"/>
      <c r="D276" s="42"/>
      <c r="E276" s="47"/>
      <c r="F276" s="47"/>
      <c r="G276" s="47"/>
      <c r="H276" s="47"/>
      <c r="I276" s="32"/>
      <c r="J276" s="32"/>
      <c r="K276" s="31"/>
      <c r="L276" s="32"/>
      <c r="M276" s="32"/>
      <c r="N276" s="33"/>
      <c r="O276" s="32"/>
      <c r="P276" s="32"/>
      <c r="Q276" s="32"/>
      <c r="R276" s="32"/>
      <c r="S276" s="32"/>
      <c r="T276" s="32"/>
      <c r="U276" s="32"/>
      <c r="V276" s="32"/>
      <c r="W276" s="32"/>
      <c r="X276" s="32"/>
      <c r="Y276" s="32"/>
      <c r="Z276" s="32"/>
      <c r="AA276" s="32"/>
    </row>
    <row r="277" spans="1:27" x14ac:dyDescent="0.25">
      <c r="A277" s="32"/>
      <c r="B277" s="47"/>
      <c r="C277" s="109"/>
      <c r="D277" s="42"/>
      <c r="E277" s="47"/>
      <c r="F277" s="47"/>
      <c r="G277" s="47"/>
      <c r="H277" s="47"/>
      <c r="I277" s="32"/>
      <c r="J277" s="32"/>
      <c r="K277" s="31"/>
      <c r="L277" s="32"/>
      <c r="M277" s="32"/>
      <c r="N277" s="33"/>
      <c r="O277" s="32"/>
      <c r="P277" s="32"/>
      <c r="Q277" s="32"/>
      <c r="R277" s="32"/>
      <c r="S277" s="32"/>
      <c r="T277" s="32"/>
      <c r="U277" s="32"/>
      <c r="V277" s="32"/>
      <c r="W277" s="32"/>
      <c r="X277" s="32"/>
      <c r="Y277" s="32"/>
      <c r="Z277" s="32"/>
      <c r="AA277" s="32"/>
    </row>
    <row r="278" spans="1:27" x14ac:dyDescent="0.25">
      <c r="A278" s="32"/>
      <c r="B278" s="47"/>
      <c r="C278" s="109"/>
      <c r="D278" s="42"/>
      <c r="E278" s="47"/>
      <c r="F278" s="47"/>
      <c r="G278" s="47"/>
      <c r="H278" s="47"/>
      <c r="I278" s="32"/>
      <c r="J278" s="32"/>
      <c r="K278" s="31"/>
      <c r="L278" s="32"/>
      <c r="M278" s="32"/>
      <c r="N278" s="33"/>
      <c r="O278" s="32"/>
      <c r="P278" s="32"/>
      <c r="Q278" s="32"/>
      <c r="R278" s="32"/>
      <c r="S278" s="32"/>
      <c r="T278" s="32"/>
      <c r="U278" s="32"/>
      <c r="V278" s="32"/>
      <c r="W278" s="32"/>
      <c r="X278" s="32"/>
      <c r="Y278" s="32"/>
      <c r="Z278" s="32"/>
      <c r="AA278" s="32"/>
    </row>
    <row r="279" spans="1:27" x14ac:dyDescent="0.25">
      <c r="A279" s="32"/>
      <c r="B279" s="47"/>
      <c r="C279" s="109"/>
      <c r="D279" s="42"/>
      <c r="E279" s="47"/>
      <c r="F279" s="47"/>
      <c r="G279" s="47"/>
      <c r="H279" s="47"/>
      <c r="I279" s="32"/>
      <c r="J279" s="32"/>
      <c r="K279" s="31"/>
      <c r="L279" s="32"/>
      <c r="M279" s="32"/>
      <c r="N279" s="33"/>
      <c r="O279" s="32"/>
      <c r="P279" s="32"/>
      <c r="Q279" s="32"/>
      <c r="R279" s="32"/>
      <c r="S279" s="32"/>
      <c r="T279" s="32"/>
      <c r="U279" s="32"/>
      <c r="V279" s="32"/>
      <c r="W279" s="32"/>
      <c r="X279" s="32"/>
      <c r="Y279" s="32"/>
      <c r="Z279" s="32"/>
      <c r="AA279" s="32"/>
    </row>
    <row r="280" spans="1:27" x14ac:dyDescent="0.25">
      <c r="A280" s="32"/>
      <c r="B280" s="47"/>
      <c r="C280" s="109"/>
      <c r="D280" s="42"/>
      <c r="E280" s="47"/>
      <c r="F280" s="47"/>
      <c r="G280" s="47"/>
      <c r="H280" s="47"/>
      <c r="I280" s="32"/>
      <c r="J280" s="32"/>
      <c r="K280" s="31"/>
      <c r="L280" s="32"/>
      <c r="M280" s="32"/>
      <c r="N280" s="33"/>
      <c r="O280" s="32"/>
      <c r="P280" s="32"/>
      <c r="Q280" s="32"/>
      <c r="R280" s="32"/>
      <c r="S280" s="32"/>
      <c r="T280" s="32"/>
      <c r="U280" s="32"/>
      <c r="V280" s="32"/>
      <c r="W280" s="32"/>
      <c r="X280" s="32"/>
      <c r="Y280" s="32"/>
      <c r="Z280" s="32"/>
      <c r="AA280" s="32"/>
    </row>
    <row r="281" spans="1:27" x14ac:dyDescent="0.25">
      <c r="A281" s="32"/>
      <c r="B281" s="47"/>
      <c r="C281" s="109"/>
      <c r="D281" s="42"/>
      <c r="E281" s="47"/>
      <c r="F281" s="47"/>
      <c r="G281" s="47"/>
      <c r="H281" s="47"/>
      <c r="I281" s="32"/>
      <c r="J281" s="32"/>
      <c r="K281" s="31"/>
      <c r="L281" s="32"/>
      <c r="M281" s="32"/>
      <c r="N281" s="33"/>
      <c r="O281" s="32"/>
      <c r="P281" s="32"/>
      <c r="Q281" s="32"/>
      <c r="R281" s="32"/>
      <c r="S281" s="32"/>
      <c r="T281" s="32"/>
      <c r="U281" s="32"/>
      <c r="V281" s="32"/>
      <c r="W281" s="32"/>
      <c r="X281" s="32"/>
      <c r="Y281" s="32"/>
      <c r="Z281" s="32"/>
      <c r="AA281" s="32"/>
    </row>
    <row r="282" spans="1:27" x14ac:dyDescent="0.25">
      <c r="A282" s="32"/>
      <c r="B282" s="47"/>
      <c r="C282" s="109"/>
      <c r="D282" s="42"/>
      <c r="E282" s="47"/>
      <c r="F282" s="47"/>
      <c r="G282" s="47"/>
      <c r="H282" s="47"/>
      <c r="I282" s="32"/>
      <c r="J282" s="32"/>
      <c r="K282" s="31"/>
      <c r="L282" s="32"/>
      <c r="M282" s="32"/>
      <c r="N282" s="33"/>
      <c r="O282" s="32"/>
      <c r="P282" s="32"/>
      <c r="Q282" s="32"/>
      <c r="R282" s="32"/>
      <c r="S282" s="32"/>
      <c r="T282" s="32"/>
      <c r="U282" s="32"/>
      <c r="V282" s="32"/>
      <c r="W282" s="32"/>
      <c r="X282" s="32"/>
      <c r="Y282" s="32"/>
      <c r="Z282" s="32"/>
      <c r="AA282" s="32"/>
    </row>
    <row r="283" spans="1:27" x14ac:dyDescent="0.25">
      <c r="A283" s="32"/>
      <c r="B283" s="47"/>
      <c r="C283" s="109"/>
      <c r="D283" s="42"/>
      <c r="E283" s="47"/>
      <c r="F283" s="47"/>
      <c r="G283" s="47"/>
      <c r="H283" s="47"/>
      <c r="I283" s="32"/>
      <c r="J283" s="32"/>
      <c r="K283" s="31"/>
      <c r="L283" s="32"/>
      <c r="M283" s="32"/>
      <c r="N283" s="33"/>
      <c r="O283" s="32"/>
      <c r="P283" s="32"/>
      <c r="Q283" s="32"/>
      <c r="R283" s="32"/>
      <c r="S283" s="32"/>
      <c r="T283" s="32"/>
      <c r="U283" s="32"/>
      <c r="V283" s="32"/>
      <c r="W283" s="32"/>
      <c r="X283" s="32"/>
      <c r="Y283" s="32"/>
      <c r="Z283" s="32"/>
      <c r="AA283" s="32"/>
    </row>
    <row r="284" spans="1:27" x14ac:dyDescent="0.25">
      <c r="A284" s="32"/>
      <c r="B284" s="47"/>
      <c r="C284" s="109"/>
      <c r="D284" s="42"/>
      <c r="E284" s="47"/>
      <c r="F284" s="47"/>
      <c r="G284" s="47"/>
      <c r="H284" s="47"/>
      <c r="I284" s="32"/>
      <c r="J284" s="32"/>
      <c r="K284" s="31"/>
      <c r="L284" s="32"/>
      <c r="M284" s="32"/>
      <c r="N284" s="33"/>
      <c r="O284" s="32"/>
      <c r="P284" s="32"/>
      <c r="Q284" s="32"/>
      <c r="R284" s="32"/>
      <c r="S284" s="32"/>
      <c r="T284" s="32"/>
      <c r="U284" s="32"/>
      <c r="V284" s="32"/>
      <c r="W284" s="32"/>
      <c r="X284" s="32"/>
      <c r="Y284" s="32"/>
      <c r="Z284" s="32"/>
      <c r="AA284" s="32"/>
    </row>
    <row r="285" spans="1:27" x14ac:dyDescent="0.25">
      <c r="A285" s="32"/>
      <c r="B285" s="47"/>
      <c r="C285" s="109"/>
      <c r="D285" s="42"/>
      <c r="E285" s="47"/>
      <c r="F285" s="47"/>
      <c r="G285" s="47"/>
      <c r="H285" s="47"/>
      <c r="I285" s="32"/>
      <c r="J285" s="32"/>
      <c r="K285" s="31"/>
      <c r="L285" s="32"/>
      <c r="M285" s="32"/>
      <c r="N285" s="33"/>
      <c r="O285" s="32"/>
      <c r="P285" s="32"/>
      <c r="Q285" s="32"/>
      <c r="R285" s="32"/>
      <c r="S285" s="32"/>
      <c r="T285" s="32"/>
      <c r="U285" s="32"/>
      <c r="V285" s="32"/>
      <c r="W285" s="32"/>
      <c r="X285" s="32"/>
      <c r="Y285" s="32"/>
      <c r="Z285" s="32"/>
      <c r="AA285" s="32"/>
    </row>
    <row r="286" spans="1:27" x14ac:dyDescent="0.25">
      <c r="A286" s="32"/>
      <c r="B286" s="47"/>
      <c r="C286" s="109"/>
      <c r="D286" s="42"/>
      <c r="E286" s="47"/>
      <c r="F286" s="47"/>
      <c r="G286" s="47"/>
      <c r="H286" s="47"/>
      <c r="I286" s="32"/>
      <c r="J286" s="32"/>
      <c r="K286" s="31"/>
      <c r="L286" s="32"/>
      <c r="M286" s="32"/>
      <c r="N286" s="33"/>
      <c r="O286" s="32"/>
      <c r="P286" s="32"/>
      <c r="Q286" s="32"/>
      <c r="R286" s="32"/>
      <c r="S286" s="32"/>
      <c r="T286" s="32"/>
      <c r="U286" s="32"/>
      <c r="V286" s="32"/>
      <c r="W286" s="32"/>
      <c r="X286" s="32"/>
      <c r="Y286" s="32"/>
      <c r="Z286" s="32"/>
      <c r="AA286" s="32"/>
    </row>
    <row r="287" spans="1:27" x14ac:dyDescent="0.25">
      <c r="A287" s="32"/>
      <c r="B287" s="47"/>
      <c r="C287" s="109"/>
      <c r="D287" s="42"/>
      <c r="E287" s="47"/>
      <c r="F287" s="47"/>
      <c r="G287" s="47"/>
      <c r="H287" s="47"/>
      <c r="I287" s="32"/>
      <c r="J287" s="32"/>
      <c r="K287" s="31"/>
      <c r="L287" s="32"/>
      <c r="M287" s="32"/>
      <c r="N287" s="33"/>
      <c r="O287" s="32"/>
      <c r="P287" s="32"/>
      <c r="Q287" s="32"/>
      <c r="R287" s="32"/>
      <c r="S287" s="32"/>
      <c r="T287" s="32"/>
      <c r="U287" s="32"/>
      <c r="V287" s="32"/>
      <c r="W287" s="32"/>
      <c r="X287" s="32"/>
      <c r="Y287" s="32"/>
      <c r="Z287" s="32"/>
      <c r="AA287" s="32"/>
    </row>
    <row r="288" spans="1:27" x14ac:dyDescent="0.25">
      <c r="A288" s="32"/>
      <c r="B288" s="47"/>
      <c r="C288" s="109"/>
      <c r="D288" s="42"/>
      <c r="E288" s="47"/>
      <c r="F288" s="47"/>
      <c r="G288" s="47"/>
      <c r="H288" s="47"/>
      <c r="I288" s="32"/>
      <c r="J288" s="32"/>
      <c r="K288" s="31"/>
      <c r="L288" s="32"/>
      <c r="M288" s="32"/>
      <c r="N288" s="33"/>
      <c r="O288" s="32"/>
      <c r="P288" s="32"/>
      <c r="Q288" s="32"/>
      <c r="R288" s="32"/>
      <c r="S288" s="32"/>
      <c r="T288" s="32"/>
      <c r="U288" s="32"/>
      <c r="V288" s="32"/>
      <c r="W288" s="32"/>
      <c r="X288" s="32"/>
      <c r="Y288" s="32"/>
      <c r="Z288" s="32"/>
      <c r="AA288" s="32"/>
    </row>
    <row r="289" spans="1:27" x14ac:dyDescent="0.25">
      <c r="A289" s="32"/>
      <c r="B289" s="47"/>
      <c r="C289" s="109"/>
      <c r="D289" s="42"/>
      <c r="E289" s="47"/>
      <c r="F289" s="47"/>
      <c r="G289" s="47"/>
      <c r="H289" s="47"/>
      <c r="I289" s="32"/>
      <c r="J289" s="32"/>
      <c r="K289" s="31"/>
      <c r="L289" s="32"/>
      <c r="M289" s="32"/>
      <c r="N289" s="33"/>
      <c r="O289" s="32"/>
      <c r="P289" s="32"/>
      <c r="Q289" s="32"/>
      <c r="R289" s="32"/>
      <c r="S289" s="32"/>
      <c r="T289" s="32"/>
      <c r="U289" s="32"/>
      <c r="V289" s="32"/>
      <c r="W289" s="32"/>
      <c r="X289" s="32"/>
      <c r="Y289" s="32"/>
      <c r="Z289" s="32"/>
      <c r="AA289" s="32"/>
    </row>
    <row r="290" spans="1:27" x14ac:dyDescent="0.25">
      <c r="A290" s="32"/>
      <c r="B290" s="47"/>
      <c r="C290" s="109"/>
      <c r="D290" s="42"/>
      <c r="E290" s="47"/>
      <c r="F290" s="47"/>
      <c r="G290" s="47"/>
      <c r="H290" s="47"/>
      <c r="I290" s="32"/>
      <c r="J290" s="32"/>
      <c r="K290" s="31"/>
      <c r="L290" s="32"/>
      <c r="M290" s="32"/>
      <c r="N290" s="33"/>
      <c r="O290" s="32"/>
      <c r="P290" s="32"/>
      <c r="Q290" s="32"/>
      <c r="R290" s="32"/>
      <c r="S290" s="32"/>
      <c r="T290" s="32"/>
      <c r="U290" s="32"/>
      <c r="V290" s="32"/>
      <c r="W290" s="32"/>
      <c r="X290" s="32"/>
      <c r="Y290" s="32"/>
      <c r="Z290" s="32"/>
      <c r="AA290" s="32"/>
    </row>
    <row r="291" spans="1:27" x14ac:dyDescent="0.25">
      <c r="A291" s="32"/>
      <c r="B291" s="47"/>
      <c r="C291" s="109"/>
      <c r="D291" s="42"/>
      <c r="E291" s="47"/>
      <c r="F291" s="47"/>
      <c r="G291" s="47"/>
      <c r="H291" s="47"/>
      <c r="I291" s="32"/>
      <c r="J291" s="32"/>
      <c r="K291" s="31"/>
      <c r="L291" s="32"/>
      <c r="M291" s="32"/>
      <c r="N291" s="33"/>
      <c r="O291" s="32"/>
      <c r="P291" s="32"/>
      <c r="Q291" s="32"/>
      <c r="R291" s="32"/>
      <c r="S291" s="32"/>
      <c r="T291" s="32"/>
      <c r="U291" s="32"/>
      <c r="V291" s="32"/>
      <c r="W291" s="32"/>
      <c r="X291" s="32"/>
      <c r="Y291" s="32"/>
      <c r="Z291" s="32"/>
      <c r="AA291" s="32"/>
    </row>
    <row r="292" spans="1:27" x14ac:dyDescent="0.25">
      <c r="A292" s="32"/>
      <c r="B292" s="47"/>
      <c r="C292" s="109"/>
      <c r="D292" s="42"/>
      <c r="E292" s="47"/>
      <c r="F292" s="47"/>
      <c r="G292" s="47"/>
      <c r="H292" s="47"/>
      <c r="I292" s="32"/>
      <c r="J292" s="32"/>
      <c r="K292" s="31"/>
      <c r="L292" s="32"/>
      <c r="M292" s="32"/>
      <c r="N292" s="33"/>
      <c r="O292" s="32"/>
      <c r="P292" s="32"/>
      <c r="Q292" s="32"/>
      <c r="R292" s="32"/>
      <c r="S292" s="32"/>
      <c r="T292" s="32"/>
      <c r="U292" s="32"/>
      <c r="V292" s="32"/>
      <c r="W292" s="32"/>
      <c r="X292" s="32"/>
      <c r="Y292" s="32"/>
      <c r="Z292" s="32"/>
      <c r="AA292" s="32"/>
    </row>
    <row r="293" spans="1:27" x14ac:dyDescent="0.25">
      <c r="A293" s="32"/>
      <c r="B293" s="47"/>
      <c r="C293" s="109"/>
      <c r="D293" s="42"/>
      <c r="E293" s="47"/>
      <c r="F293" s="47"/>
      <c r="G293" s="47"/>
      <c r="H293" s="47"/>
      <c r="I293" s="32"/>
      <c r="J293" s="32"/>
      <c r="K293" s="31"/>
      <c r="L293" s="32"/>
      <c r="M293" s="32"/>
      <c r="N293" s="33"/>
      <c r="O293" s="32"/>
      <c r="P293" s="32"/>
      <c r="Q293" s="32"/>
      <c r="R293" s="32"/>
      <c r="S293" s="32"/>
      <c r="T293" s="32"/>
      <c r="U293" s="32"/>
      <c r="V293" s="32"/>
      <c r="W293" s="32"/>
      <c r="X293" s="32"/>
      <c r="Y293" s="32"/>
      <c r="Z293" s="32"/>
      <c r="AA293" s="32"/>
    </row>
    <row r="294" spans="1:27" x14ac:dyDescent="0.25">
      <c r="A294" s="32"/>
      <c r="B294" s="47"/>
      <c r="C294" s="109"/>
      <c r="D294" s="42"/>
      <c r="E294" s="47"/>
      <c r="F294" s="47"/>
      <c r="G294" s="47"/>
      <c r="H294" s="47"/>
      <c r="I294" s="32"/>
      <c r="J294" s="32"/>
      <c r="K294" s="31"/>
      <c r="L294" s="32"/>
      <c r="M294" s="32"/>
      <c r="N294" s="33"/>
      <c r="O294" s="32"/>
      <c r="P294" s="32"/>
      <c r="Q294" s="32"/>
      <c r="R294" s="32"/>
      <c r="S294" s="32"/>
      <c r="T294" s="32"/>
      <c r="U294" s="32"/>
      <c r="V294" s="32"/>
      <c r="W294" s="32"/>
      <c r="X294" s="32"/>
      <c r="Y294" s="32"/>
      <c r="Z294" s="32"/>
      <c r="AA294" s="32"/>
    </row>
    <row r="295" spans="1:27" x14ac:dyDescent="0.25">
      <c r="A295" s="32"/>
      <c r="B295" s="47"/>
      <c r="C295" s="109"/>
      <c r="D295" s="42"/>
      <c r="E295" s="47"/>
      <c r="F295" s="47"/>
      <c r="G295" s="47"/>
      <c r="H295" s="47"/>
      <c r="I295" s="32"/>
      <c r="J295" s="32"/>
      <c r="K295" s="31"/>
      <c r="L295" s="32"/>
      <c r="M295" s="32"/>
      <c r="N295" s="33"/>
      <c r="O295" s="32"/>
      <c r="P295" s="32"/>
      <c r="Q295" s="32"/>
      <c r="R295" s="32"/>
      <c r="S295" s="32"/>
      <c r="T295" s="32"/>
      <c r="U295" s="32"/>
      <c r="V295" s="32"/>
      <c r="W295" s="32"/>
      <c r="X295" s="32"/>
      <c r="Y295" s="32"/>
      <c r="Z295" s="32"/>
      <c r="AA295" s="32"/>
    </row>
    <row r="296" spans="1:27" x14ac:dyDescent="0.25">
      <c r="A296" s="32"/>
      <c r="B296" s="47"/>
      <c r="C296" s="109"/>
      <c r="D296" s="42"/>
      <c r="E296" s="47"/>
      <c r="F296" s="47"/>
      <c r="G296" s="47"/>
      <c r="H296" s="47"/>
      <c r="I296" s="32"/>
      <c r="J296" s="32"/>
      <c r="K296" s="31"/>
      <c r="L296" s="32"/>
      <c r="M296" s="32"/>
      <c r="N296" s="33"/>
      <c r="O296" s="32"/>
      <c r="P296" s="32"/>
      <c r="Q296" s="32"/>
      <c r="R296" s="32"/>
      <c r="S296" s="32"/>
      <c r="T296" s="32"/>
      <c r="U296" s="32"/>
      <c r="V296" s="32"/>
      <c r="W296" s="32"/>
      <c r="X296" s="32"/>
      <c r="Y296" s="32"/>
      <c r="Z296" s="32"/>
      <c r="AA296" s="32"/>
    </row>
    <row r="297" spans="1:27" x14ac:dyDescent="0.25">
      <c r="A297" s="32"/>
      <c r="B297" s="47"/>
      <c r="C297" s="109"/>
      <c r="D297" s="42"/>
      <c r="E297" s="47"/>
      <c r="F297" s="47"/>
      <c r="G297" s="47"/>
      <c r="H297" s="47"/>
      <c r="I297" s="32"/>
      <c r="J297" s="32"/>
      <c r="K297" s="31"/>
      <c r="L297" s="32"/>
      <c r="M297" s="32"/>
      <c r="N297" s="33"/>
      <c r="O297" s="32"/>
      <c r="P297" s="32"/>
      <c r="Q297" s="32"/>
      <c r="R297" s="32"/>
      <c r="S297" s="32"/>
      <c r="T297" s="32"/>
      <c r="U297" s="32"/>
      <c r="V297" s="32"/>
      <c r="W297" s="32"/>
      <c r="X297" s="32"/>
      <c r="Y297" s="32"/>
      <c r="Z297" s="32"/>
      <c r="AA297" s="32"/>
    </row>
    <row r="298" spans="1:27" x14ac:dyDescent="0.25">
      <c r="A298" s="32"/>
      <c r="B298" s="47"/>
      <c r="C298" s="109"/>
      <c r="D298" s="42"/>
      <c r="E298" s="47"/>
      <c r="F298" s="47"/>
      <c r="G298" s="47"/>
      <c r="H298" s="47"/>
      <c r="I298" s="32"/>
      <c r="J298" s="32"/>
      <c r="K298" s="31"/>
      <c r="L298" s="32"/>
      <c r="M298" s="32"/>
      <c r="N298" s="33"/>
      <c r="O298" s="32"/>
      <c r="P298" s="32"/>
      <c r="Q298" s="32"/>
      <c r="R298" s="32"/>
      <c r="S298" s="32"/>
      <c r="T298" s="32"/>
      <c r="U298" s="32"/>
      <c r="V298" s="32"/>
      <c r="W298" s="32"/>
      <c r="X298" s="32"/>
      <c r="Y298" s="32"/>
      <c r="Z298" s="32"/>
      <c r="AA298" s="32"/>
    </row>
    <row r="299" spans="1:27" x14ac:dyDescent="0.25">
      <c r="A299" s="32"/>
      <c r="B299" s="47"/>
      <c r="C299" s="109"/>
      <c r="D299" s="42"/>
      <c r="E299" s="47"/>
      <c r="F299" s="47"/>
      <c r="G299" s="47"/>
      <c r="H299" s="47"/>
      <c r="I299" s="32"/>
      <c r="J299" s="32"/>
      <c r="K299" s="31"/>
      <c r="L299" s="32"/>
      <c r="M299" s="32"/>
      <c r="N299" s="33"/>
      <c r="O299" s="32"/>
      <c r="P299" s="32"/>
      <c r="Q299" s="32"/>
      <c r="R299" s="32"/>
      <c r="S299" s="32"/>
      <c r="T299" s="32"/>
      <c r="U299" s="32"/>
      <c r="V299" s="32"/>
      <c r="W299" s="32"/>
      <c r="X299" s="32"/>
      <c r="Y299" s="32"/>
      <c r="Z299" s="32"/>
      <c r="AA299" s="32"/>
    </row>
    <row r="300" spans="1:27" x14ac:dyDescent="0.25">
      <c r="A300" s="32"/>
      <c r="B300" s="47"/>
      <c r="C300" s="109"/>
      <c r="D300" s="42"/>
      <c r="E300" s="47"/>
      <c r="F300" s="47"/>
      <c r="G300" s="47"/>
      <c r="H300" s="47"/>
      <c r="I300" s="32"/>
      <c r="J300" s="32"/>
      <c r="K300" s="31"/>
      <c r="L300" s="32"/>
      <c r="M300" s="32"/>
      <c r="N300" s="33"/>
      <c r="O300" s="32"/>
      <c r="P300" s="32"/>
      <c r="Q300" s="32"/>
      <c r="R300" s="32"/>
      <c r="S300" s="32"/>
      <c r="T300" s="32"/>
      <c r="U300" s="32"/>
      <c r="V300" s="32"/>
      <c r="W300" s="32"/>
      <c r="X300" s="32"/>
      <c r="Y300" s="32"/>
      <c r="Z300" s="32"/>
      <c r="AA300" s="32"/>
    </row>
    <row r="301" spans="1:27" x14ac:dyDescent="0.25">
      <c r="A301" s="32"/>
      <c r="B301" s="47"/>
      <c r="C301" s="109"/>
      <c r="D301" s="42"/>
      <c r="E301" s="47"/>
      <c r="F301" s="47"/>
      <c r="G301" s="47"/>
      <c r="H301" s="47"/>
      <c r="I301" s="32"/>
      <c r="J301" s="32"/>
      <c r="K301" s="31"/>
      <c r="L301" s="32"/>
      <c r="M301" s="32"/>
      <c r="N301" s="33"/>
      <c r="O301" s="32"/>
      <c r="P301" s="32"/>
      <c r="Q301" s="32"/>
      <c r="R301" s="32"/>
      <c r="S301" s="32"/>
      <c r="T301" s="32"/>
      <c r="U301" s="32"/>
      <c r="V301" s="32"/>
      <c r="W301" s="32"/>
      <c r="X301" s="32"/>
      <c r="Y301" s="32"/>
      <c r="Z301" s="32"/>
      <c r="AA301" s="32"/>
    </row>
    <row r="302" spans="1:27" x14ac:dyDescent="0.25">
      <c r="A302" s="32"/>
      <c r="B302" s="47"/>
      <c r="C302" s="109"/>
      <c r="D302" s="42"/>
      <c r="E302" s="47"/>
      <c r="F302" s="47"/>
      <c r="G302" s="47"/>
      <c r="H302" s="47"/>
      <c r="I302" s="32"/>
      <c r="J302" s="32"/>
      <c r="K302" s="31"/>
      <c r="L302" s="32"/>
      <c r="M302" s="32"/>
      <c r="N302" s="33"/>
      <c r="O302" s="32"/>
      <c r="P302" s="32"/>
      <c r="Q302" s="32"/>
      <c r="R302" s="32"/>
      <c r="S302" s="32"/>
      <c r="T302" s="32"/>
      <c r="U302" s="32"/>
      <c r="V302" s="32"/>
      <c r="W302" s="32"/>
      <c r="X302" s="32"/>
      <c r="Y302" s="32"/>
      <c r="Z302" s="32"/>
      <c r="AA302" s="32"/>
    </row>
    <row r="303" spans="1:27" x14ac:dyDescent="0.25">
      <c r="A303" s="32"/>
      <c r="B303" s="47"/>
      <c r="C303" s="109"/>
      <c r="D303" s="42"/>
      <c r="E303" s="47"/>
      <c r="F303" s="47"/>
      <c r="G303" s="47"/>
      <c r="H303" s="47"/>
      <c r="I303" s="32"/>
      <c r="J303" s="32"/>
      <c r="K303" s="31"/>
      <c r="L303" s="32"/>
      <c r="M303" s="32"/>
      <c r="N303" s="33"/>
      <c r="O303" s="32"/>
      <c r="P303" s="32"/>
      <c r="Q303" s="32"/>
      <c r="R303" s="32"/>
      <c r="S303" s="32"/>
      <c r="T303" s="32"/>
      <c r="U303" s="32"/>
      <c r="V303" s="32"/>
      <c r="W303" s="32"/>
      <c r="X303" s="32"/>
      <c r="Y303" s="32"/>
      <c r="Z303" s="32"/>
      <c r="AA303" s="32"/>
    </row>
    <row r="304" spans="1:27" x14ac:dyDescent="0.25">
      <c r="A304" s="32"/>
      <c r="B304" s="47"/>
      <c r="C304" s="109"/>
      <c r="D304" s="42"/>
      <c r="E304" s="47"/>
      <c r="F304" s="47"/>
      <c r="G304" s="47"/>
      <c r="H304" s="47"/>
      <c r="I304" s="32"/>
      <c r="J304" s="32"/>
      <c r="K304" s="31"/>
      <c r="L304" s="32"/>
      <c r="M304" s="32"/>
      <c r="N304" s="33"/>
      <c r="O304" s="32"/>
      <c r="P304" s="32"/>
      <c r="Q304" s="32"/>
      <c r="R304" s="32"/>
      <c r="S304" s="32"/>
      <c r="T304" s="32"/>
      <c r="U304" s="32"/>
      <c r="V304" s="32"/>
      <c r="W304" s="32"/>
      <c r="X304" s="32"/>
      <c r="Y304" s="32"/>
      <c r="Z304" s="32"/>
      <c r="AA304" s="32"/>
    </row>
    <row r="305" spans="1:27" x14ac:dyDescent="0.25">
      <c r="A305" s="32"/>
      <c r="B305" s="47"/>
      <c r="C305" s="109"/>
      <c r="D305" s="42"/>
      <c r="E305" s="47"/>
      <c r="F305" s="47"/>
      <c r="G305" s="47"/>
      <c r="H305" s="47"/>
      <c r="I305" s="32"/>
      <c r="J305" s="32"/>
      <c r="K305" s="31"/>
      <c r="L305" s="32"/>
      <c r="M305" s="32"/>
      <c r="N305" s="33"/>
      <c r="O305" s="32"/>
      <c r="P305" s="32"/>
      <c r="Q305" s="32"/>
      <c r="R305" s="32"/>
      <c r="S305" s="32"/>
      <c r="T305" s="32"/>
      <c r="U305" s="32"/>
      <c r="V305" s="32"/>
      <c r="W305" s="32"/>
      <c r="X305" s="32"/>
      <c r="Y305" s="32"/>
      <c r="Z305" s="32"/>
      <c r="AA305" s="32"/>
    </row>
    <row r="306" spans="1:27" x14ac:dyDescent="0.25">
      <c r="A306" s="32"/>
      <c r="B306" s="47"/>
      <c r="C306" s="109"/>
      <c r="D306" s="42"/>
      <c r="E306" s="47"/>
      <c r="F306" s="47"/>
      <c r="G306" s="47"/>
      <c r="H306" s="47"/>
      <c r="I306" s="32"/>
      <c r="J306" s="32"/>
      <c r="K306" s="31"/>
      <c r="L306" s="32"/>
      <c r="M306" s="32"/>
      <c r="N306" s="33"/>
      <c r="O306" s="32"/>
      <c r="P306" s="32"/>
      <c r="Q306" s="32"/>
      <c r="R306" s="32"/>
      <c r="S306" s="32"/>
      <c r="T306" s="32"/>
      <c r="U306" s="32"/>
      <c r="V306" s="32"/>
      <c r="W306" s="32"/>
      <c r="X306" s="32"/>
      <c r="Y306" s="32"/>
      <c r="Z306" s="32"/>
      <c r="AA306" s="32"/>
    </row>
    <row r="307" spans="1:27" x14ac:dyDescent="0.25">
      <c r="A307" s="32"/>
      <c r="B307" s="47"/>
      <c r="C307" s="109"/>
      <c r="D307" s="42"/>
      <c r="E307" s="47"/>
      <c r="F307" s="47"/>
      <c r="G307" s="47"/>
      <c r="H307" s="47"/>
      <c r="I307" s="32"/>
      <c r="J307" s="32"/>
      <c r="K307" s="31"/>
      <c r="L307" s="32"/>
      <c r="M307" s="32"/>
      <c r="N307" s="33"/>
      <c r="O307" s="32"/>
      <c r="P307" s="32"/>
      <c r="Q307" s="32"/>
      <c r="R307" s="32"/>
      <c r="S307" s="32"/>
      <c r="T307" s="32"/>
      <c r="U307" s="32"/>
      <c r="V307" s="32"/>
      <c r="W307" s="32"/>
      <c r="X307" s="32"/>
      <c r="Y307" s="32"/>
      <c r="Z307" s="32"/>
      <c r="AA307" s="32"/>
    </row>
    <row r="308" spans="1:27" x14ac:dyDescent="0.25">
      <c r="A308" s="32"/>
      <c r="B308" s="47"/>
      <c r="C308" s="109"/>
      <c r="D308" s="42"/>
      <c r="E308" s="47"/>
      <c r="F308" s="47"/>
      <c r="G308" s="47"/>
      <c r="H308" s="47"/>
      <c r="I308" s="32"/>
      <c r="J308" s="32"/>
      <c r="K308" s="31"/>
      <c r="L308" s="32"/>
      <c r="M308" s="32"/>
      <c r="N308" s="33"/>
      <c r="O308" s="32"/>
      <c r="P308" s="32"/>
      <c r="Q308" s="32"/>
      <c r="R308" s="32"/>
      <c r="S308" s="32"/>
      <c r="T308" s="32"/>
      <c r="U308" s="32"/>
      <c r="V308" s="32"/>
      <c r="W308" s="32"/>
      <c r="X308" s="32"/>
      <c r="Y308" s="32"/>
      <c r="Z308" s="32"/>
      <c r="AA308" s="32"/>
    </row>
    <row r="309" spans="1:27" x14ac:dyDescent="0.25">
      <c r="A309" s="32"/>
      <c r="B309" s="47"/>
      <c r="C309" s="109"/>
      <c r="D309" s="42"/>
      <c r="E309" s="47"/>
      <c r="F309" s="47"/>
      <c r="G309" s="47"/>
      <c r="H309" s="47"/>
      <c r="I309" s="32"/>
      <c r="J309" s="32"/>
      <c r="K309" s="31"/>
      <c r="L309" s="32"/>
      <c r="M309" s="32"/>
      <c r="N309" s="33"/>
      <c r="O309" s="32"/>
      <c r="P309" s="32"/>
      <c r="Q309" s="32"/>
      <c r="R309" s="32"/>
      <c r="S309" s="32"/>
      <c r="T309" s="32"/>
      <c r="U309" s="32"/>
      <c r="V309" s="32"/>
      <c r="W309" s="32"/>
      <c r="X309" s="32"/>
      <c r="Y309" s="32"/>
      <c r="Z309" s="32"/>
      <c r="AA309" s="32"/>
    </row>
    <row r="310" spans="1:27" x14ac:dyDescent="0.25">
      <c r="A310" s="32"/>
      <c r="B310" s="47"/>
      <c r="C310" s="109"/>
      <c r="D310" s="42"/>
      <c r="E310" s="47"/>
      <c r="F310" s="47"/>
      <c r="G310" s="47"/>
      <c r="H310" s="47"/>
      <c r="I310" s="32"/>
      <c r="J310" s="32"/>
      <c r="K310" s="31"/>
      <c r="L310" s="32"/>
      <c r="M310" s="32"/>
      <c r="N310" s="33"/>
      <c r="O310" s="32"/>
      <c r="P310" s="32"/>
      <c r="Q310" s="32"/>
      <c r="R310" s="32"/>
      <c r="S310" s="32"/>
      <c r="T310" s="32"/>
      <c r="U310" s="32"/>
      <c r="V310" s="32"/>
      <c r="W310" s="32"/>
      <c r="X310" s="32"/>
      <c r="Y310" s="32"/>
      <c r="Z310" s="32"/>
      <c r="AA310" s="32"/>
    </row>
    <row r="311" spans="1:27" x14ac:dyDescent="0.25">
      <c r="A311" s="32"/>
      <c r="B311" s="47"/>
      <c r="C311" s="109"/>
      <c r="D311" s="42"/>
      <c r="E311" s="47"/>
      <c r="F311" s="47"/>
      <c r="G311" s="47"/>
      <c r="H311" s="47"/>
      <c r="I311" s="32"/>
      <c r="J311" s="32"/>
      <c r="K311" s="31"/>
      <c r="L311" s="32"/>
      <c r="M311" s="32"/>
      <c r="N311" s="33"/>
      <c r="O311" s="32"/>
      <c r="P311" s="32"/>
      <c r="Q311" s="32"/>
      <c r="R311" s="32"/>
      <c r="S311" s="32"/>
      <c r="T311" s="32"/>
      <c r="U311" s="32"/>
      <c r="V311" s="32"/>
      <c r="W311" s="32"/>
      <c r="X311" s="32"/>
      <c r="Y311" s="32"/>
      <c r="Z311" s="32"/>
      <c r="AA311" s="32"/>
    </row>
    <row r="312" spans="1:27" x14ac:dyDescent="0.25">
      <c r="A312" s="32"/>
      <c r="B312" s="47"/>
      <c r="C312" s="109"/>
      <c r="D312" s="42"/>
      <c r="E312" s="47"/>
      <c r="F312" s="47"/>
      <c r="G312" s="47"/>
      <c r="H312" s="47"/>
      <c r="I312" s="32"/>
      <c r="J312" s="32"/>
      <c r="K312" s="31"/>
      <c r="L312" s="32"/>
      <c r="M312" s="32"/>
      <c r="N312" s="33"/>
      <c r="O312" s="32"/>
      <c r="P312" s="32"/>
      <c r="Q312" s="32"/>
      <c r="R312" s="32"/>
      <c r="S312" s="32"/>
      <c r="T312" s="32"/>
      <c r="U312" s="32"/>
      <c r="V312" s="32"/>
      <c r="W312" s="32"/>
      <c r="X312" s="32"/>
      <c r="Y312" s="32"/>
      <c r="Z312" s="32"/>
      <c r="AA312" s="32"/>
    </row>
    <row r="313" spans="1:27" x14ac:dyDescent="0.25">
      <c r="A313" s="32"/>
      <c r="B313" s="47"/>
      <c r="C313" s="109"/>
      <c r="D313" s="42"/>
      <c r="E313" s="47"/>
      <c r="F313" s="47"/>
      <c r="G313" s="47"/>
      <c r="H313" s="47"/>
      <c r="I313" s="32"/>
      <c r="J313" s="32"/>
      <c r="K313" s="31"/>
      <c r="L313" s="32"/>
      <c r="M313" s="32"/>
      <c r="N313" s="33"/>
      <c r="O313" s="32"/>
      <c r="P313" s="32"/>
      <c r="Q313" s="32"/>
      <c r="R313" s="32"/>
      <c r="S313" s="32"/>
      <c r="T313" s="32"/>
      <c r="U313" s="32"/>
      <c r="V313" s="32"/>
      <c r="W313" s="32"/>
      <c r="X313" s="32"/>
      <c r="Y313" s="32"/>
      <c r="Z313" s="32"/>
      <c r="AA313" s="32"/>
    </row>
    <row r="314" spans="1:27" x14ac:dyDescent="0.25">
      <c r="A314" s="32"/>
      <c r="B314" s="47"/>
      <c r="C314" s="109"/>
      <c r="D314" s="42"/>
      <c r="E314" s="47"/>
      <c r="F314" s="47"/>
      <c r="G314" s="47"/>
      <c r="H314" s="47"/>
      <c r="I314" s="32"/>
      <c r="J314" s="32"/>
      <c r="K314" s="31"/>
      <c r="L314" s="32"/>
      <c r="M314" s="32"/>
      <c r="N314" s="33"/>
      <c r="O314" s="32"/>
      <c r="P314" s="32"/>
      <c r="Q314" s="32"/>
      <c r="R314" s="32"/>
      <c r="S314" s="32"/>
      <c r="T314" s="32"/>
      <c r="U314" s="32"/>
      <c r="V314" s="32"/>
      <c r="W314" s="32"/>
      <c r="X314" s="32"/>
      <c r="Y314" s="32"/>
      <c r="Z314" s="32"/>
      <c r="AA314" s="32"/>
    </row>
    <row r="315" spans="1:27" x14ac:dyDescent="0.25">
      <c r="A315" s="32"/>
      <c r="B315" s="47"/>
      <c r="C315" s="109"/>
      <c r="D315" s="42"/>
      <c r="E315" s="47"/>
      <c r="F315" s="47"/>
      <c r="G315" s="47"/>
      <c r="H315" s="47"/>
      <c r="I315" s="32"/>
      <c r="J315" s="32"/>
      <c r="K315" s="31"/>
      <c r="L315" s="32"/>
      <c r="M315" s="32"/>
      <c r="N315" s="33"/>
      <c r="O315" s="32"/>
      <c r="P315" s="32"/>
      <c r="Q315" s="32"/>
      <c r="R315" s="32"/>
      <c r="S315" s="32"/>
      <c r="T315" s="32"/>
      <c r="U315" s="32"/>
      <c r="V315" s="32"/>
      <c r="W315" s="32"/>
      <c r="X315" s="32"/>
      <c r="Y315" s="32"/>
      <c r="Z315" s="32"/>
      <c r="AA315" s="32"/>
    </row>
    <row r="316" spans="1:27" x14ac:dyDescent="0.25">
      <c r="A316" s="32"/>
      <c r="B316" s="47"/>
      <c r="C316" s="109"/>
      <c r="D316" s="42"/>
      <c r="E316" s="47"/>
      <c r="F316" s="47"/>
      <c r="G316" s="47"/>
      <c r="H316" s="47"/>
      <c r="I316" s="32"/>
      <c r="J316" s="32"/>
      <c r="K316" s="31"/>
      <c r="L316" s="32"/>
      <c r="M316" s="32"/>
      <c r="N316" s="33"/>
      <c r="O316" s="32"/>
      <c r="P316" s="32"/>
      <c r="Q316" s="32"/>
      <c r="R316" s="32"/>
      <c r="S316" s="32"/>
      <c r="T316" s="32"/>
      <c r="U316" s="32"/>
      <c r="V316" s="32"/>
      <c r="W316" s="32"/>
      <c r="X316" s="32"/>
      <c r="Y316" s="32"/>
      <c r="Z316" s="32"/>
      <c r="AA316" s="32"/>
    </row>
    <row r="317" spans="1:27" x14ac:dyDescent="0.25">
      <c r="A317" s="32"/>
      <c r="B317" s="47"/>
      <c r="C317" s="109"/>
      <c r="D317" s="42"/>
      <c r="E317" s="47"/>
      <c r="F317" s="47"/>
      <c r="G317" s="47"/>
      <c r="H317" s="47"/>
      <c r="I317" s="32"/>
      <c r="J317" s="32"/>
      <c r="K317" s="31"/>
      <c r="L317" s="32"/>
      <c r="M317" s="32"/>
      <c r="N317" s="33"/>
      <c r="O317" s="32"/>
      <c r="P317" s="32"/>
      <c r="Q317" s="32"/>
      <c r="R317" s="32"/>
      <c r="S317" s="32"/>
      <c r="T317" s="32"/>
      <c r="U317" s="32"/>
      <c r="V317" s="32"/>
      <c r="W317" s="32"/>
      <c r="X317" s="32"/>
      <c r="Y317" s="32"/>
      <c r="Z317" s="32"/>
      <c r="AA317" s="32"/>
    </row>
    <row r="318" spans="1:27" x14ac:dyDescent="0.25">
      <c r="A318" s="32"/>
      <c r="B318" s="47"/>
      <c r="C318" s="109"/>
      <c r="D318" s="42"/>
      <c r="E318" s="47"/>
      <c r="F318" s="47"/>
      <c r="G318" s="47"/>
      <c r="H318" s="47"/>
      <c r="I318" s="32"/>
      <c r="J318" s="32"/>
      <c r="K318" s="31"/>
      <c r="L318" s="32"/>
      <c r="M318" s="32"/>
      <c r="N318" s="33"/>
      <c r="O318" s="32"/>
      <c r="P318" s="32"/>
      <c r="Q318" s="32"/>
      <c r="R318" s="32"/>
      <c r="S318" s="32"/>
      <c r="T318" s="32"/>
      <c r="U318" s="32"/>
      <c r="V318" s="32"/>
      <c r="W318" s="32"/>
      <c r="X318" s="32"/>
      <c r="Y318" s="32"/>
      <c r="Z318" s="32"/>
      <c r="AA318" s="32"/>
    </row>
    <row r="319" spans="1:27" x14ac:dyDescent="0.25">
      <c r="A319" s="32"/>
      <c r="B319" s="47"/>
      <c r="C319" s="109"/>
      <c r="D319" s="42"/>
      <c r="E319" s="47"/>
      <c r="F319" s="47"/>
      <c r="G319" s="47"/>
      <c r="H319" s="47"/>
      <c r="I319" s="32"/>
      <c r="J319" s="32"/>
      <c r="K319" s="31"/>
      <c r="L319" s="32"/>
      <c r="M319" s="32"/>
      <c r="N319" s="33"/>
      <c r="O319" s="32"/>
      <c r="P319" s="32"/>
      <c r="Q319" s="32"/>
      <c r="R319" s="32"/>
      <c r="S319" s="32"/>
      <c r="T319" s="32"/>
      <c r="U319" s="32"/>
      <c r="V319" s="32"/>
      <c r="W319" s="32"/>
      <c r="X319" s="32"/>
      <c r="Y319" s="32"/>
      <c r="Z319" s="32"/>
      <c r="AA319" s="32"/>
    </row>
    <row r="320" spans="1:27" x14ac:dyDescent="0.25">
      <c r="A320" s="32"/>
      <c r="B320" s="47"/>
      <c r="C320" s="109"/>
      <c r="D320" s="42"/>
      <c r="E320" s="47"/>
      <c r="F320" s="47"/>
      <c r="G320" s="47"/>
      <c r="H320" s="47"/>
      <c r="I320" s="32"/>
      <c r="J320" s="32"/>
      <c r="K320" s="31"/>
      <c r="L320" s="32"/>
      <c r="M320" s="32"/>
      <c r="N320" s="33"/>
      <c r="O320" s="32"/>
      <c r="P320" s="32"/>
      <c r="Q320" s="32"/>
      <c r="R320" s="32"/>
      <c r="S320" s="32"/>
      <c r="T320" s="32"/>
      <c r="U320" s="32"/>
      <c r="V320" s="32"/>
      <c r="W320" s="32"/>
      <c r="X320" s="32"/>
      <c r="Y320" s="32"/>
      <c r="Z320" s="32"/>
      <c r="AA320" s="32"/>
    </row>
    <row r="321" spans="1:27" x14ac:dyDescent="0.25">
      <c r="A321" s="32"/>
      <c r="B321" s="47"/>
      <c r="C321" s="109"/>
      <c r="D321" s="42"/>
      <c r="E321" s="47"/>
      <c r="F321" s="47"/>
      <c r="G321" s="47"/>
      <c r="H321" s="47"/>
      <c r="I321" s="32"/>
      <c r="J321" s="32"/>
      <c r="K321" s="31"/>
      <c r="L321" s="32"/>
      <c r="M321" s="32"/>
      <c r="N321" s="33"/>
      <c r="O321" s="32"/>
      <c r="P321" s="32"/>
      <c r="Q321" s="32"/>
      <c r="R321" s="32"/>
      <c r="S321" s="32"/>
      <c r="T321" s="32"/>
      <c r="U321" s="32"/>
      <c r="V321" s="32"/>
      <c r="W321" s="32"/>
      <c r="X321" s="32"/>
      <c r="Y321" s="32"/>
      <c r="Z321" s="32"/>
      <c r="AA321" s="32"/>
    </row>
    <row r="322" spans="1:27" x14ac:dyDescent="0.25">
      <c r="A322" s="32"/>
      <c r="B322" s="47"/>
      <c r="C322" s="109"/>
      <c r="D322" s="42"/>
      <c r="E322" s="47"/>
      <c r="F322" s="47"/>
      <c r="G322" s="47"/>
      <c r="H322" s="47"/>
      <c r="I322" s="32"/>
      <c r="J322" s="32"/>
      <c r="K322" s="31"/>
      <c r="L322" s="32"/>
      <c r="M322" s="32"/>
      <c r="N322" s="33"/>
      <c r="O322" s="32"/>
      <c r="P322" s="32"/>
      <c r="Q322" s="32"/>
      <c r="R322" s="32"/>
      <c r="S322" s="32"/>
      <c r="T322" s="32"/>
      <c r="U322" s="32"/>
      <c r="V322" s="32"/>
      <c r="W322" s="32"/>
      <c r="X322" s="32"/>
      <c r="Y322" s="32"/>
      <c r="Z322" s="32"/>
      <c r="AA322" s="32"/>
    </row>
    <row r="323" spans="1:27" x14ac:dyDescent="0.25">
      <c r="A323" s="32"/>
      <c r="B323" s="47"/>
      <c r="C323" s="109"/>
      <c r="D323" s="42"/>
      <c r="E323" s="47"/>
      <c r="F323" s="47"/>
      <c r="G323" s="47"/>
      <c r="H323" s="47"/>
      <c r="I323" s="32"/>
      <c r="J323" s="32"/>
      <c r="K323" s="31"/>
      <c r="L323" s="32"/>
      <c r="M323" s="32"/>
      <c r="N323" s="33"/>
      <c r="O323" s="32"/>
      <c r="P323" s="32"/>
      <c r="Q323" s="32"/>
      <c r="R323" s="32"/>
      <c r="S323" s="32"/>
      <c r="T323" s="32"/>
      <c r="U323" s="32"/>
      <c r="V323" s="32"/>
      <c r="W323" s="32"/>
      <c r="X323" s="32"/>
      <c r="Y323" s="32"/>
      <c r="Z323" s="32"/>
      <c r="AA323" s="32"/>
    </row>
    <row r="324" spans="1:27" x14ac:dyDescent="0.25">
      <c r="A324" s="32"/>
      <c r="B324" s="47"/>
      <c r="C324" s="109"/>
      <c r="D324" s="42"/>
      <c r="E324" s="47"/>
      <c r="F324" s="47"/>
      <c r="G324" s="47"/>
      <c r="H324" s="47"/>
      <c r="I324" s="32"/>
      <c r="J324" s="32"/>
      <c r="K324" s="31"/>
      <c r="L324" s="32"/>
      <c r="M324" s="32"/>
      <c r="N324" s="33"/>
      <c r="O324" s="32"/>
      <c r="P324" s="32"/>
      <c r="Q324" s="32"/>
      <c r="R324" s="32"/>
      <c r="S324" s="32"/>
      <c r="T324" s="32"/>
      <c r="U324" s="32"/>
      <c r="V324" s="32"/>
      <c r="W324" s="32"/>
      <c r="X324" s="32"/>
      <c r="Y324" s="32"/>
      <c r="Z324" s="32"/>
      <c r="AA324" s="32"/>
    </row>
    <row r="325" spans="1:27" x14ac:dyDescent="0.25">
      <c r="A325" s="32"/>
      <c r="B325" s="47"/>
      <c r="C325" s="109"/>
      <c r="D325" s="42"/>
      <c r="E325" s="47"/>
      <c r="F325" s="47"/>
      <c r="G325" s="47"/>
      <c r="H325" s="47"/>
      <c r="I325" s="32"/>
      <c r="J325" s="32"/>
      <c r="K325" s="31"/>
      <c r="L325" s="32"/>
      <c r="M325" s="32"/>
      <c r="N325" s="33"/>
      <c r="O325" s="32"/>
      <c r="P325" s="32"/>
      <c r="Q325" s="32"/>
      <c r="R325" s="32"/>
      <c r="S325" s="32"/>
      <c r="T325" s="32"/>
      <c r="U325" s="32"/>
      <c r="V325" s="32"/>
      <c r="W325" s="32"/>
      <c r="X325" s="32"/>
      <c r="Y325" s="32"/>
      <c r="Z325" s="32"/>
      <c r="AA325" s="32"/>
    </row>
    <row r="326" spans="1:27" x14ac:dyDescent="0.25">
      <c r="A326" s="32"/>
      <c r="B326" s="47"/>
      <c r="C326" s="109"/>
      <c r="D326" s="42"/>
      <c r="E326" s="47"/>
      <c r="F326" s="47"/>
      <c r="G326" s="47"/>
      <c r="H326" s="47"/>
      <c r="I326" s="32"/>
      <c r="J326" s="32"/>
      <c r="K326" s="31"/>
      <c r="L326" s="32"/>
      <c r="M326" s="32"/>
      <c r="N326" s="33"/>
      <c r="O326" s="32"/>
      <c r="P326" s="32"/>
      <c r="Q326" s="32"/>
      <c r="R326" s="32"/>
      <c r="S326" s="32"/>
      <c r="T326" s="32"/>
      <c r="U326" s="32"/>
      <c r="V326" s="32"/>
      <c r="W326" s="32"/>
      <c r="X326" s="32"/>
      <c r="Y326" s="32"/>
      <c r="Z326" s="32"/>
      <c r="AA326" s="32"/>
    </row>
    <row r="327" spans="1:27" x14ac:dyDescent="0.25">
      <c r="A327" s="32"/>
      <c r="B327" s="47"/>
      <c r="C327" s="109"/>
      <c r="D327" s="42"/>
      <c r="E327" s="47"/>
      <c r="F327" s="47"/>
      <c r="G327" s="47"/>
      <c r="H327" s="47"/>
      <c r="I327" s="32"/>
      <c r="J327" s="32"/>
      <c r="K327" s="31"/>
      <c r="L327" s="32"/>
      <c r="M327" s="32"/>
      <c r="N327" s="33"/>
      <c r="O327" s="32"/>
      <c r="P327" s="32"/>
      <c r="Q327" s="32"/>
      <c r="R327" s="32"/>
      <c r="S327" s="32"/>
      <c r="T327" s="32"/>
      <c r="U327" s="32"/>
      <c r="V327" s="32"/>
      <c r="W327" s="32"/>
      <c r="X327" s="32"/>
      <c r="Y327" s="32"/>
      <c r="Z327" s="32"/>
      <c r="AA327" s="32"/>
    </row>
    <row r="328" spans="1:27" x14ac:dyDescent="0.25">
      <c r="A328" s="32"/>
      <c r="B328" s="47"/>
      <c r="C328" s="109"/>
      <c r="D328" s="42"/>
      <c r="E328" s="47"/>
      <c r="F328" s="47"/>
      <c r="G328" s="47"/>
      <c r="H328" s="47"/>
      <c r="I328" s="32"/>
      <c r="J328" s="32"/>
      <c r="K328" s="31"/>
      <c r="L328" s="32"/>
      <c r="M328" s="32"/>
      <c r="N328" s="33"/>
      <c r="O328" s="32"/>
      <c r="P328" s="32"/>
      <c r="Q328" s="32"/>
      <c r="R328" s="32"/>
      <c r="S328" s="32"/>
      <c r="T328" s="32"/>
      <c r="U328" s="32"/>
      <c r="V328" s="32"/>
      <c r="W328" s="32"/>
      <c r="X328" s="32"/>
      <c r="Y328" s="32"/>
      <c r="Z328" s="32"/>
      <c r="AA328" s="32"/>
    </row>
    <row r="329" spans="1:27" x14ac:dyDescent="0.25">
      <c r="A329" s="32"/>
      <c r="B329" s="47"/>
      <c r="C329" s="109"/>
      <c r="D329" s="42"/>
      <c r="E329" s="47"/>
      <c r="F329" s="47"/>
      <c r="G329" s="47"/>
      <c r="H329" s="47"/>
      <c r="I329" s="32"/>
      <c r="J329" s="32"/>
      <c r="K329" s="31"/>
      <c r="L329" s="32"/>
      <c r="M329" s="32"/>
      <c r="N329" s="33"/>
      <c r="O329" s="32"/>
      <c r="P329" s="32"/>
      <c r="Q329" s="32"/>
      <c r="R329" s="32"/>
      <c r="S329" s="32"/>
      <c r="T329" s="32"/>
      <c r="U329" s="32"/>
      <c r="V329" s="32"/>
      <c r="W329" s="32"/>
      <c r="X329" s="32"/>
      <c r="Y329" s="32"/>
      <c r="Z329" s="32"/>
      <c r="AA329" s="32"/>
    </row>
    <row r="330" spans="1:27" x14ac:dyDescent="0.25">
      <c r="A330" s="32"/>
      <c r="B330" s="47"/>
      <c r="C330" s="109"/>
      <c r="D330" s="42"/>
      <c r="E330" s="47"/>
      <c r="F330" s="47"/>
      <c r="G330" s="47"/>
      <c r="H330" s="47"/>
      <c r="I330" s="32"/>
      <c r="J330" s="32"/>
      <c r="K330" s="31"/>
      <c r="L330" s="32"/>
      <c r="M330" s="32"/>
      <c r="N330" s="33"/>
      <c r="O330" s="32"/>
      <c r="P330" s="32"/>
      <c r="Q330" s="32"/>
      <c r="R330" s="32"/>
      <c r="S330" s="32"/>
      <c r="T330" s="32"/>
      <c r="U330" s="32"/>
      <c r="V330" s="32"/>
      <c r="W330" s="32"/>
      <c r="X330" s="32"/>
      <c r="Y330" s="32"/>
      <c r="Z330" s="32"/>
      <c r="AA330" s="32"/>
    </row>
    <row r="331" spans="1:27" x14ac:dyDescent="0.25">
      <c r="A331" s="32"/>
      <c r="B331" s="47"/>
      <c r="C331" s="109"/>
      <c r="D331" s="42"/>
      <c r="E331" s="47"/>
      <c r="F331" s="47"/>
      <c r="G331" s="47"/>
      <c r="H331" s="47"/>
      <c r="I331" s="32"/>
      <c r="J331" s="32"/>
      <c r="K331" s="31"/>
      <c r="L331" s="32"/>
      <c r="M331" s="32"/>
      <c r="N331" s="33"/>
      <c r="O331" s="32"/>
      <c r="P331" s="32"/>
      <c r="Q331" s="32"/>
      <c r="R331" s="32"/>
      <c r="S331" s="32"/>
      <c r="T331" s="32"/>
      <c r="U331" s="32"/>
      <c r="V331" s="32"/>
      <c r="W331" s="32"/>
      <c r="X331" s="32"/>
      <c r="Y331" s="32"/>
      <c r="Z331" s="32"/>
      <c r="AA331" s="32"/>
    </row>
    <row r="332" spans="1:27" x14ac:dyDescent="0.25">
      <c r="A332" s="32"/>
      <c r="B332" s="47"/>
      <c r="C332" s="109"/>
      <c r="D332" s="42"/>
      <c r="E332" s="47"/>
      <c r="F332" s="47"/>
      <c r="G332" s="47"/>
      <c r="H332" s="47"/>
      <c r="I332" s="32"/>
      <c r="J332" s="32"/>
      <c r="K332" s="31"/>
      <c r="L332" s="32"/>
      <c r="M332" s="32"/>
      <c r="N332" s="33"/>
      <c r="O332" s="32"/>
      <c r="P332" s="32"/>
      <c r="Q332" s="32"/>
      <c r="R332" s="32"/>
      <c r="S332" s="32"/>
      <c r="T332" s="32"/>
      <c r="U332" s="32"/>
      <c r="V332" s="32"/>
      <c r="W332" s="32"/>
      <c r="X332" s="32"/>
      <c r="Y332" s="32"/>
      <c r="Z332" s="32"/>
      <c r="AA332" s="32"/>
    </row>
    <row r="333" spans="1:27" x14ac:dyDescent="0.25">
      <c r="A333" s="32"/>
      <c r="B333" s="47"/>
      <c r="C333" s="109"/>
      <c r="D333" s="42"/>
      <c r="E333" s="47"/>
      <c r="F333" s="47"/>
      <c r="G333" s="47"/>
      <c r="H333" s="47"/>
      <c r="I333" s="32"/>
      <c r="J333" s="32"/>
      <c r="K333" s="31"/>
      <c r="L333" s="32"/>
      <c r="M333" s="32"/>
      <c r="N333" s="33"/>
      <c r="O333" s="32"/>
      <c r="P333" s="32"/>
      <c r="Q333" s="32"/>
      <c r="R333" s="32"/>
      <c r="S333" s="32"/>
      <c r="T333" s="32"/>
      <c r="U333" s="32"/>
      <c r="V333" s="32"/>
      <c r="W333" s="32"/>
      <c r="X333" s="32"/>
      <c r="Y333" s="32"/>
      <c r="Z333" s="32"/>
      <c r="AA333" s="32"/>
    </row>
    <row r="334" spans="1:27" x14ac:dyDescent="0.25">
      <c r="A334" s="32"/>
      <c r="B334" s="47"/>
      <c r="C334" s="109"/>
      <c r="D334" s="42"/>
      <c r="E334" s="47"/>
      <c r="F334" s="47"/>
      <c r="G334" s="47"/>
      <c r="H334" s="47"/>
      <c r="I334" s="32"/>
      <c r="J334" s="32"/>
      <c r="K334" s="31"/>
      <c r="L334" s="32"/>
      <c r="M334" s="32"/>
      <c r="N334" s="33"/>
      <c r="O334" s="32"/>
      <c r="P334" s="32"/>
      <c r="Q334" s="32"/>
      <c r="R334" s="32"/>
      <c r="S334" s="32"/>
      <c r="T334" s="32"/>
      <c r="U334" s="32"/>
      <c r="V334" s="32"/>
      <c r="W334" s="32"/>
      <c r="X334" s="32"/>
      <c r="Y334" s="32"/>
      <c r="Z334" s="32"/>
      <c r="AA334" s="32"/>
    </row>
    <row r="335" spans="1:27" x14ac:dyDescent="0.25">
      <c r="A335" s="32"/>
      <c r="B335" s="47"/>
      <c r="C335" s="109"/>
      <c r="D335" s="42"/>
      <c r="E335" s="47"/>
      <c r="F335" s="47"/>
      <c r="G335" s="47"/>
      <c r="H335" s="47"/>
      <c r="I335" s="32"/>
      <c r="J335" s="32"/>
      <c r="K335" s="31"/>
      <c r="L335" s="32"/>
      <c r="M335" s="32"/>
      <c r="N335" s="33"/>
      <c r="O335" s="32"/>
      <c r="P335" s="32"/>
      <c r="Q335" s="32"/>
      <c r="R335" s="32"/>
      <c r="S335" s="32"/>
      <c r="T335" s="32"/>
      <c r="U335" s="32"/>
      <c r="V335" s="32"/>
      <c r="W335" s="32"/>
      <c r="X335" s="32"/>
      <c r="Y335" s="32"/>
      <c r="Z335" s="32"/>
      <c r="AA335" s="32"/>
    </row>
    <row r="336" spans="1:27" x14ac:dyDescent="0.25">
      <c r="A336" s="32"/>
      <c r="B336" s="47"/>
      <c r="C336" s="109"/>
      <c r="D336" s="42"/>
      <c r="E336" s="47"/>
      <c r="F336" s="47"/>
      <c r="G336" s="47"/>
      <c r="H336" s="47"/>
      <c r="I336" s="32"/>
      <c r="J336" s="32"/>
      <c r="K336" s="31"/>
      <c r="L336" s="32"/>
      <c r="M336" s="32"/>
      <c r="N336" s="33"/>
      <c r="O336" s="32"/>
      <c r="P336" s="32"/>
      <c r="Q336" s="32"/>
      <c r="R336" s="32"/>
      <c r="S336" s="32"/>
      <c r="T336" s="32"/>
      <c r="U336" s="32"/>
      <c r="V336" s="32"/>
      <c r="W336" s="32"/>
      <c r="X336" s="32"/>
      <c r="Y336" s="32"/>
      <c r="Z336" s="32"/>
      <c r="AA336" s="32"/>
    </row>
    <row r="337" spans="1:27" x14ac:dyDescent="0.25">
      <c r="A337" s="32"/>
      <c r="B337" s="47"/>
      <c r="C337" s="109"/>
      <c r="D337" s="42"/>
      <c r="E337" s="47"/>
      <c r="F337" s="47"/>
      <c r="G337" s="47"/>
      <c r="H337" s="47"/>
      <c r="I337" s="32"/>
      <c r="J337" s="32"/>
      <c r="K337" s="31"/>
      <c r="L337" s="32"/>
      <c r="M337" s="32"/>
      <c r="N337" s="33"/>
      <c r="O337" s="32"/>
      <c r="P337" s="32"/>
      <c r="Q337" s="32"/>
      <c r="R337" s="32"/>
      <c r="S337" s="32"/>
      <c r="T337" s="32"/>
      <c r="U337" s="32"/>
      <c r="V337" s="32"/>
      <c r="W337" s="32"/>
      <c r="X337" s="32"/>
      <c r="Y337" s="32"/>
      <c r="Z337" s="32"/>
      <c r="AA337" s="32"/>
    </row>
    <row r="338" spans="1:27" x14ac:dyDescent="0.25">
      <c r="A338" s="32"/>
      <c r="B338" s="47"/>
      <c r="C338" s="109"/>
      <c r="D338" s="42"/>
      <c r="E338" s="47"/>
      <c r="F338" s="47"/>
      <c r="G338" s="47"/>
      <c r="H338" s="47"/>
      <c r="I338" s="32"/>
      <c r="J338" s="32"/>
      <c r="K338" s="31"/>
      <c r="L338" s="32"/>
      <c r="M338" s="32"/>
      <c r="N338" s="33"/>
      <c r="O338" s="32"/>
      <c r="P338" s="32"/>
      <c r="Q338" s="32"/>
      <c r="R338" s="32"/>
      <c r="S338" s="32"/>
      <c r="T338" s="32"/>
      <c r="U338" s="32"/>
      <c r="V338" s="32"/>
      <c r="W338" s="32"/>
      <c r="X338" s="32"/>
      <c r="Y338" s="32"/>
      <c r="Z338" s="32"/>
      <c r="AA338" s="32"/>
    </row>
    <row r="339" spans="1:27" x14ac:dyDescent="0.25">
      <c r="A339" s="32"/>
      <c r="B339" s="47"/>
      <c r="C339" s="109"/>
      <c r="D339" s="42"/>
      <c r="E339" s="47"/>
      <c r="F339" s="47"/>
      <c r="G339" s="47"/>
      <c r="H339" s="47"/>
      <c r="I339" s="32"/>
      <c r="J339" s="32"/>
      <c r="K339" s="31"/>
      <c r="L339" s="32"/>
      <c r="M339" s="32"/>
      <c r="N339" s="33"/>
      <c r="O339" s="32"/>
      <c r="P339" s="32"/>
      <c r="Q339" s="32"/>
      <c r="R339" s="32"/>
      <c r="S339" s="32"/>
      <c r="T339" s="32"/>
      <c r="U339" s="32"/>
      <c r="V339" s="32"/>
      <c r="W339" s="32"/>
      <c r="X339" s="32"/>
      <c r="Y339" s="32"/>
      <c r="Z339" s="32"/>
      <c r="AA339" s="32"/>
    </row>
    <row r="340" spans="1:27" x14ac:dyDescent="0.25">
      <c r="A340" s="32"/>
      <c r="B340" s="47"/>
      <c r="C340" s="109"/>
      <c r="D340" s="42"/>
      <c r="E340" s="47"/>
      <c r="F340" s="47"/>
      <c r="G340" s="47"/>
      <c r="H340" s="47"/>
      <c r="I340" s="32"/>
      <c r="J340" s="32"/>
      <c r="K340" s="31"/>
      <c r="L340" s="32"/>
      <c r="M340" s="32"/>
      <c r="N340" s="33"/>
      <c r="O340" s="32"/>
      <c r="P340" s="32"/>
      <c r="Q340" s="32"/>
      <c r="R340" s="32"/>
      <c r="S340" s="32"/>
      <c r="T340" s="32"/>
      <c r="U340" s="32"/>
      <c r="V340" s="32"/>
      <c r="W340" s="32"/>
      <c r="X340" s="32"/>
      <c r="Y340" s="32"/>
      <c r="Z340" s="32"/>
      <c r="AA340" s="32"/>
    </row>
    <row r="341" spans="1:27" x14ac:dyDescent="0.25">
      <c r="A341" s="32"/>
      <c r="B341" s="47"/>
      <c r="C341" s="109"/>
      <c r="D341" s="42"/>
      <c r="E341" s="47"/>
      <c r="F341" s="47"/>
      <c r="G341" s="47"/>
      <c r="H341" s="47"/>
      <c r="I341" s="32"/>
      <c r="J341" s="32"/>
      <c r="K341" s="31"/>
      <c r="L341" s="32"/>
      <c r="M341" s="32"/>
      <c r="N341" s="33"/>
      <c r="O341" s="32"/>
      <c r="P341" s="32"/>
      <c r="Q341" s="32"/>
      <c r="R341" s="32"/>
      <c r="S341" s="32"/>
      <c r="T341" s="32"/>
      <c r="U341" s="32"/>
      <c r="V341" s="32"/>
      <c r="W341" s="32"/>
      <c r="X341" s="32"/>
      <c r="Y341" s="32"/>
      <c r="Z341" s="32"/>
      <c r="AA341" s="32"/>
    </row>
    <row r="342" spans="1:27" x14ac:dyDescent="0.25">
      <c r="A342" s="32"/>
      <c r="B342" s="47"/>
      <c r="C342" s="109"/>
      <c r="D342" s="42"/>
      <c r="E342" s="47"/>
      <c r="F342" s="47"/>
      <c r="G342" s="47"/>
      <c r="H342" s="47"/>
      <c r="I342" s="32"/>
      <c r="J342" s="32"/>
      <c r="K342" s="31"/>
      <c r="L342" s="32"/>
      <c r="M342" s="32"/>
      <c r="N342" s="33"/>
      <c r="O342" s="32"/>
      <c r="P342" s="32"/>
      <c r="Q342" s="32"/>
      <c r="R342" s="32"/>
      <c r="S342" s="32"/>
      <c r="T342" s="32"/>
      <c r="U342" s="32"/>
      <c r="V342" s="32"/>
      <c r="W342" s="32"/>
      <c r="X342" s="32"/>
      <c r="Y342" s="32"/>
      <c r="Z342" s="32"/>
      <c r="AA342" s="32"/>
    </row>
    <row r="343" spans="1:27" x14ac:dyDescent="0.25">
      <c r="A343" s="32"/>
      <c r="B343" s="47"/>
      <c r="C343" s="109"/>
      <c r="D343" s="42"/>
      <c r="E343" s="47"/>
      <c r="F343" s="47"/>
      <c r="G343" s="47"/>
      <c r="H343" s="47"/>
      <c r="I343" s="32"/>
      <c r="J343" s="32"/>
      <c r="K343" s="31"/>
      <c r="L343" s="32"/>
      <c r="M343" s="32"/>
      <c r="N343" s="33"/>
      <c r="O343" s="32"/>
      <c r="P343" s="32"/>
      <c r="Q343" s="32"/>
      <c r="R343" s="32"/>
      <c r="S343" s="32"/>
      <c r="T343" s="32"/>
      <c r="U343" s="32"/>
      <c r="V343" s="32"/>
      <c r="W343" s="32"/>
      <c r="X343" s="32"/>
      <c r="Y343" s="32"/>
      <c r="Z343" s="32"/>
      <c r="AA343" s="32"/>
    </row>
    <row r="344" spans="1:27" x14ac:dyDescent="0.25">
      <c r="A344" s="32"/>
      <c r="B344" s="47"/>
      <c r="C344" s="109"/>
      <c r="D344" s="42"/>
      <c r="E344" s="47"/>
      <c r="F344" s="47"/>
      <c r="G344" s="47"/>
      <c r="H344" s="47"/>
      <c r="I344" s="32"/>
      <c r="J344" s="32"/>
      <c r="K344" s="31"/>
      <c r="L344" s="32"/>
      <c r="M344" s="32"/>
      <c r="N344" s="33"/>
      <c r="O344" s="32"/>
      <c r="P344" s="32"/>
      <c r="Q344" s="32"/>
      <c r="R344" s="32"/>
      <c r="S344" s="32"/>
      <c r="T344" s="32"/>
      <c r="U344" s="32"/>
      <c r="V344" s="32"/>
      <c r="W344" s="32"/>
      <c r="X344" s="32"/>
      <c r="Y344" s="32"/>
      <c r="Z344" s="32"/>
      <c r="AA344" s="32"/>
    </row>
    <row r="345" spans="1:27" x14ac:dyDescent="0.25">
      <c r="A345" s="32"/>
      <c r="B345" s="47"/>
      <c r="C345" s="109"/>
      <c r="D345" s="42"/>
      <c r="E345" s="47"/>
      <c r="F345" s="47"/>
      <c r="G345" s="47"/>
      <c r="H345" s="47"/>
      <c r="I345" s="32"/>
      <c r="J345" s="32"/>
      <c r="K345" s="31"/>
      <c r="L345" s="32"/>
      <c r="M345" s="32"/>
      <c r="N345" s="33"/>
      <c r="O345" s="32"/>
      <c r="P345" s="32"/>
      <c r="Q345" s="32"/>
      <c r="R345" s="32"/>
      <c r="S345" s="32"/>
      <c r="T345" s="32"/>
      <c r="U345" s="32"/>
      <c r="V345" s="32"/>
      <c r="W345" s="32"/>
      <c r="X345" s="32"/>
      <c r="Y345" s="32"/>
      <c r="Z345" s="32"/>
      <c r="AA345" s="32"/>
    </row>
    <row r="346" spans="1:27" x14ac:dyDescent="0.25">
      <c r="A346" s="32"/>
      <c r="B346" s="47"/>
      <c r="C346" s="109"/>
      <c r="D346" s="42"/>
      <c r="E346" s="47"/>
      <c r="F346" s="47"/>
      <c r="G346" s="47"/>
      <c r="H346" s="47"/>
      <c r="I346" s="32"/>
      <c r="J346" s="32"/>
      <c r="K346" s="31"/>
      <c r="L346" s="32"/>
      <c r="M346" s="32"/>
      <c r="N346" s="33"/>
      <c r="O346" s="32"/>
      <c r="P346" s="32"/>
      <c r="Q346" s="32"/>
      <c r="R346" s="32"/>
      <c r="S346" s="32"/>
      <c r="T346" s="32"/>
      <c r="U346" s="32"/>
      <c r="V346" s="32"/>
      <c r="W346" s="32"/>
      <c r="X346" s="32"/>
      <c r="Y346" s="32"/>
      <c r="Z346" s="32"/>
      <c r="AA346" s="32"/>
    </row>
    <row r="347" spans="1:27" x14ac:dyDescent="0.25">
      <c r="A347" s="32"/>
      <c r="B347" s="47"/>
      <c r="C347" s="109"/>
      <c r="D347" s="42"/>
      <c r="E347" s="47"/>
      <c r="F347" s="47"/>
      <c r="G347" s="47"/>
      <c r="H347" s="47"/>
      <c r="I347" s="32"/>
      <c r="J347" s="32"/>
      <c r="K347" s="31"/>
      <c r="L347" s="32"/>
      <c r="M347" s="32"/>
      <c r="N347" s="33"/>
      <c r="O347" s="32"/>
      <c r="P347" s="32"/>
      <c r="Q347" s="32"/>
      <c r="R347" s="32"/>
      <c r="S347" s="32"/>
      <c r="T347" s="32"/>
      <c r="U347" s="32"/>
      <c r="V347" s="32"/>
      <c r="W347" s="32"/>
      <c r="X347" s="32"/>
      <c r="Y347" s="32"/>
      <c r="Z347" s="32"/>
      <c r="AA347" s="32"/>
    </row>
    <row r="348" spans="1:27" x14ac:dyDescent="0.25">
      <c r="A348" s="32"/>
      <c r="B348" s="47"/>
      <c r="C348" s="109"/>
      <c r="D348" s="42"/>
      <c r="E348" s="47"/>
      <c r="F348" s="47"/>
      <c r="G348" s="47"/>
      <c r="H348" s="47"/>
      <c r="I348" s="32"/>
      <c r="J348" s="32"/>
      <c r="K348" s="31"/>
      <c r="L348" s="32"/>
      <c r="M348" s="32"/>
      <c r="N348" s="33"/>
      <c r="O348" s="32"/>
      <c r="P348" s="32"/>
      <c r="Q348" s="32"/>
      <c r="R348" s="32"/>
      <c r="S348" s="32"/>
      <c r="T348" s="32"/>
      <c r="U348" s="32"/>
      <c r="V348" s="32"/>
      <c r="W348" s="32"/>
      <c r="X348" s="32"/>
      <c r="Y348" s="32"/>
      <c r="Z348" s="32"/>
      <c r="AA348" s="32"/>
    </row>
    <row r="349" spans="1:27" x14ac:dyDescent="0.25">
      <c r="A349" s="32"/>
      <c r="B349" s="47"/>
      <c r="C349" s="109"/>
      <c r="D349" s="42"/>
      <c r="E349" s="47"/>
      <c r="F349" s="47"/>
      <c r="G349" s="47"/>
      <c r="H349" s="47"/>
      <c r="I349" s="32"/>
      <c r="J349" s="32"/>
      <c r="K349" s="31"/>
      <c r="L349" s="32"/>
      <c r="M349" s="32"/>
      <c r="N349" s="33"/>
      <c r="O349" s="32"/>
      <c r="P349" s="32"/>
      <c r="Q349" s="32"/>
      <c r="R349" s="32"/>
      <c r="S349" s="32"/>
      <c r="T349" s="32"/>
      <c r="U349" s="32"/>
      <c r="V349" s="32"/>
      <c r="W349" s="32"/>
      <c r="X349" s="32"/>
      <c r="Y349" s="32"/>
      <c r="Z349" s="32"/>
      <c r="AA349" s="32"/>
    </row>
    <row r="350" spans="1:27" x14ac:dyDescent="0.25">
      <c r="A350" s="32"/>
      <c r="B350" s="47"/>
      <c r="C350" s="109"/>
      <c r="D350" s="42"/>
      <c r="E350" s="47"/>
      <c r="F350" s="47"/>
      <c r="G350" s="47"/>
      <c r="H350" s="47"/>
      <c r="I350" s="32"/>
      <c r="J350" s="32"/>
      <c r="K350" s="31"/>
      <c r="L350" s="32"/>
      <c r="M350" s="32"/>
      <c r="N350" s="33"/>
      <c r="O350" s="32"/>
      <c r="P350" s="32"/>
      <c r="Q350" s="32"/>
      <c r="R350" s="32"/>
      <c r="S350" s="32"/>
      <c r="T350" s="32"/>
      <c r="U350" s="32"/>
      <c r="V350" s="32"/>
      <c r="W350" s="32"/>
      <c r="X350" s="32"/>
      <c r="Y350" s="32"/>
      <c r="Z350" s="32"/>
      <c r="AA350" s="32"/>
    </row>
    <row r="351" spans="1:27" x14ac:dyDescent="0.25">
      <c r="A351" s="32"/>
      <c r="B351" s="47"/>
      <c r="C351" s="109"/>
      <c r="D351" s="42"/>
      <c r="E351" s="47"/>
      <c r="F351" s="47"/>
      <c r="G351" s="47"/>
      <c r="H351" s="47"/>
      <c r="I351" s="32"/>
      <c r="J351" s="32"/>
      <c r="K351" s="31"/>
      <c r="L351" s="32"/>
      <c r="M351" s="32"/>
      <c r="N351" s="33"/>
      <c r="O351" s="32"/>
      <c r="P351" s="32"/>
      <c r="Q351" s="32"/>
      <c r="R351" s="32"/>
      <c r="S351" s="32"/>
      <c r="T351" s="32"/>
      <c r="U351" s="32"/>
      <c r="V351" s="32"/>
      <c r="W351" s="32"/>
      <c r="X351" s="32"/>
      <c r="Y351" s="32"/>
      <c r="Z351" s="32"/>
      <c r="AA351" s="32"/>
    </row>
    <row r="352" spans="1:27" x14ac:dyDescent="0.25">
      <c r="A352" s="32"/>
      <c r="B352" s="47"/>
      <c r="C352" s="109"/>
      <c r="D352" s="42"/>
      <c r="E352" s="47"/>
      <c r="F352" s="47"/>
      <c r="G352" s="47"/>
      <c r="H352" s="47"/>
      <c r="I352" s="32"/>
      <c r="J352" s="32"/>
      <c r="K352" s="31"/>
      <c r="L352" s="32"/>
      <c r="M352" s="32"/>
      <c r="N352" s="33"/>
      <c r="O352" s="32"/>
      <c r="P352" s="32"/>
      <c r="Q352" s="32"/>
      <c r="R352" s="32"/>
      <c r="S352" s="32"/>
      <c r="T352" s="32"/>
      <c r="U352" s="32"/>
      <c r="V352" s="32"/>
      <c r="W352" s="32"/>
      <c r="X352" s="32"/>
      <c r="Y352" s="32"/>
      <c r="Z352" s="32"/>
      <c r="AA352" s="32"/>
    </row>
    <row r="353" spans="1:27" x14ac:dyDescent="0.25">
      <c r="A353" s="32"/>
      <c r="B353" s="47"/>
      <c r="C353" s="109"/>
      <c r="D353" s="42"/>
      <c r="E353" s="47"/>
      <c r="F353" s="47"/>
      <c r="G353" s="47"/>
      <c r="H353" s="47"/>
      <c r="I353" s="32"/>
      <c r="J353" s="32"/>
      <c r="K353" s="31"/>
      <c r="L353" s="32"/>
      <c r="M353" s="32"/>
      <c r="N353" s="33"/>
      <c r="O353" s="32"/>
      <c r="P353" s="32"/>
      <c r="Q353" s="32"/>
      <c r="R353" s="32"/>
      <c r="S353" s="32"/>
      <c r="T353" s="32"/>
      <c r="U353" s="32"/>
      <c r="V353" s="32"/>
      <c r="W353" s="32"/>
      <c r="X353" s="32"/>
      <c r="Y353" s="32"/>
      <c r="Z353" s="32"/>
      <c r="AA353" s="32"/>
    </row>
    <row r="354" spans="1:27" x14ac:dyDescent="0.25">
      <c r="A354" s="32"/>
      <c r="B354" s="47"/>
      <c r="C354" s="109"/>
      <c r="D354" s="42"/>
      <c r="E354" s="47"/>
      <c r="F354" s="47"/>
      <c r="G354" s="47"/>
      <c r="H354" s="47"/>
      <c r="I354" s="32"/>
      <c r="J354" s="32"/>
      <c r="K354" s="31"/>
      <c r="L354" s="32"/>
      <c r="M354" s="32"/>
      <c r="N354" s="33"/>
      <c r="O354" s="32"/>
      <c r="P354" s="32"/>
      <c r="Q354" s="32"/>
      <c r="R354" s="32"/>
      <c r="S354" s="32"/>
      <c r="T354" s="32"/>
      <c r="U354" s="32"/>
      <c r="V354" s="32"/>
      <c r="W354" s="32"/>
      <c r="X354" s="32"/>
      <c r="Y354" s="32"/>
      <c r="Z354" s="32"/>
      <c r="AA354" s="32"/>
    </row>
    <row r="355" spans="1:27" x14ac:dyDescent="0.25">
      <c r="A355" s="32"/>
      <c r="B355" s="47"/>
      <c r="C355" s="109"/>
      <c r="D355" s="42"/>
      <c r="E355" s="47"/>
      <c r="F355" s="47"/>
      <c r="G355" s="47"/>
      <c r="H355" s="47"/>
      <c r="I355" s="32"/>
      <c r="J355" s="32"/>
      <c r="K355" s="31"/>
      <c r="L355" s="32"/>
      <c r="M355" s="32"/>
      <c r="N355" s="33"/>
      <c r="O355" s="32"/>
      <c r="P355" s="32"/>
      <c r="Q355" s="32"/>
      <c r="R355" s="32"/>
      <c r="S355" s="32"/>
      <c r="T355" s="32"/>
      <c r="U355" s="32"/>
      <c r="V355" s="32"/>
      <c r="W355" s="32"/>
      <c r="X355" s="32"/>
      <c r="Y355" s="32"/>
      <c r="Z355" s="32"/>
      <c r="AA355" s="32"/>
    </row>
    <row r="356" spans="1:27" x14ac:dyDescent="0.25">
      <c r="A356" s="32"/>
      <c r="B356" s="47"/>
      <c r="C356" s="109"/>
      <c r="D356" s="42"/>
      <c r="E356" s="47"/>
      <c r="F356" s="47"/>
      <c r="G356" s="47"/>
      <c r="H356" s="47"/>
      <c r="I356" s="32"/>
      <c r="J356" s="32"/>
      <c r="K356" s="31"/>
      <c r="L356" s="32"/>
      <c r="M356" s="32"/>
      <c r="N356" s="33"/>
      <c r="O356" s="32"/>
      <c r="P356" s="32"/>
      <c r="Q356" s="32"/>
      <c r="R356" s="32"/>
      <c r="S356" s="32"/>
      <c r="T356" s="32"/>
      <c r="U356" s="32"/>
      <c r="V356" s="32"/>
      <c r="W356" s="32"/>
      <c r="X356" s="32"/>
      <c r="Y356" s="32"/>
      <c r="Z356" s="32"/>
      <c r="AA356" s="32"/>
    </row>
    <row r="357" spans="1:27" x14ac:dyDescent="0.25">
      <c r="A357" s="32"/>
      <c r="B357" s="47"/>
      <c r="C357" s="109"/>
      <c r="D357" s="42"/>
      <c r="E357" s="47"/>
      <c r="F357" s="47"/>
      <c r="G357" s="47"/>
      <c r="H357" s="47"/>
      <c r="I357" s="32"/>
      <c r="J357" s="32"/>
      <c r="K357" s="31"/>
      <c r="L357" s="32"/>
      <c r="M357" s="32"/>
      <c r="N357" s="33"/>
      <c r="O357" s="32"/>
      <c r="P357" s="32"/>
      <c r="Q357" s="32"/>
      <c r="R357" s="32"/>
      <c r="S357" s="32"/>
      <c r="T357" s="32"/>
      <c r="U357" s="32"/>
      <c r="V357" s="32"/>
      <c r="W357" s="32"/>
      <c r="X357" s="32"/>
      <c r="Y357" s="32"/>
      <c r="Z357" s="32"/>
      <c r="AA357" s="32"/>
    </row>
    <row r="358" spans="1:27" x14ac:dyDescent="0.25">
      <c r="A358" s="32"/>
      <c r="B358" s="47"/>
      <c r="C358" s="109"/>
      <c r="D358" s="42"/>
      <c r="E358" s="47"/>
      <c r="F358" s="47"/>
      <c r="G358" s="47"/>
      <c r="H358" s="47"/>
      <c r="I358" s="32"/>
      <c r="J358" s="32"/>
      <c r="K358" s="31"/>
      <c r="L358" s="32"/>
      <c r="M358" s="32"/>
      <c r="N358" s="33"/>
      <c r="O358" s="32"/>
      <c r="P358" s="32"/>
      <c r="Q358" s="32"/>
      <c r="R358" s="32"/>
      <c r="S358" s="32"/>
      <c r="T358" s="32"/>
      <c r="U358" s="32"/>
      <c r="V358" s="32"/>
      <c r="W358" s="32"/>
      <c r="X358" s="32"/>
      <c r="Y358" s="32"/>
      <c r="Z358" s="32"/>
      <c r="AA358" s="32"/>
    </row>
    <row r="359" spans="1:27" x14ac:dyDescent="0.25">
      <c r="A359" s="32"/>
      <c r="B359" s="47"/>
      <c r="C359" s="109"/>
      <c r="D359" s="42"/>
      <c r="E359" s="47"/>
      <c r="F359" s="47"/>
      <c r="G359" s="47"/>
      <c r="H359" s="47"/>
      <c r="I359" s="32"/>
      <c r="J359" s="32"/>
      <c r="K359" s="31"/>
      <c r="L359" s="32"/>
      <c r="M359" s="32"/>
      <c r="N359" s="33"/>
      <c r="O359" s="32"/>
      <c r="P359" s="32"/>
      <c r="Q359" s="32"/>
      <c r="R359" s="32"/>
      <c r="S359" s="32"/>
      <c r="T359" s="32"/>
      <c r="U359" s="32"/>
      <c r="V359" s="32"/>
      <c r="W359" s="32"/>
      <c r="X359" s="32"/>
      <c r="Y359" s="32"/>
      <c r="Z359" s="32"/>
      <c r="AA359" s="32"/>
    </row>
    <row r="360" spans="1:27" x14ac:dyDescent="0.25">
      <c r="A360" s="32"/>
      <c r="B360" s="47"/>
      <c r="C360" s="109"/>
      <c r="D360" s="42"/>
      <c r="E360" s="47"/>
      <c r="F360" s="47"/>
      <c r="G360" s="47"/>
      <c r="H360" s="47"/>
      <c r="I360" s="32"/>
      <c r="J360" s="32"/>
      <c r="K360" s="31"/>
      <c r="L360" s="32"/>
      <c r="M360" s="32"/>
      <c r="N360" s="33"/>
      <c r="O360" s="32"/>
      <c r="P360" s="32"/>
      <c r="Q360" s="32"/>
      <c r="R360" s="32"/>
      <c r="S360" s="32"/>
      <c r="T360" s="32"/>
      <c r="U360" s="32"/>
      <c r="V360" s="32"/>
      <c r="W360" s="32"/>
      <c r="X360" s="32"/>
      <c r="Y360" s="32"/>
      <c r="Z360" s="32"/>
      <c r="AA360" s="32"/>
    </row>
    <row r="361" spans="1:27" x14ac:dyDescent="0.25">
      <c r="A361" s="32"/>
      <c r="B361" s="47"/>
      <c r="C361" s="109"/>
      <c r="D361" s="42"/>
      <c r="E361" s="47"/>
      <c r="F361" s="47"/>
      <c r="G361" s="47"/>
      <c r="H361" s="47"/>
      <c r="I361" s="32"/>
      <c r="J361" s="32"/>
      <c r="K361" s="31"/>
      <c r="L361" s="32"/>
      <c r="M361" s="32"/>
      <c r="N361" s="33"/>
      <c r="O361" s="32"/>
      <c r="P361" s="32"/>
      <c r="Q361" s="32"/>
      <c r="R361" s="32"/>
      <c r="S361" s="32"/>
      <c r="T361" s="32"/>
      <c r="U361" s="32"/>
      <c r="V361" s="32"/>
      <c r="W361" s="32"/>
      <c r="X361" s="32"/>
      <c r="Y361" s="32"/>
      <c r="Z361" s="32"/>
      <c r="AA361" s="32"/>
    </row>
    <row r="362" spans="1:27" x14ac:dyDescent="0.25">
      <c r="A362" s="32"/>
      <c r="B362" s="47"/>
      <c r="C362" s="109"/>
      <c r="D362" s="42"/>
      <c r="E362" s="47"/>
      <c r="F362" s="47"/>
      <c r="G362" s="47"/>
      <c r="H362" s="47"/>
      <c r="I362" s="32"/>
      <c r="J362" s="32"/>
      <c r="K362" s="31"/>
      <c r="L362" s="32"/>
      <c r="M362" s="32"/>
      <c r="N362" s="33"/>
      <c r="O362" s="32"/>
      <c r="P362" s="32"/>
      <c r="Q362" s="32"/>
      <c r="R362" s="32"/>
      <c r="S362" s="32"/>
      <c r="T362" s="32"/>
      <c r="U362" s="32"/>
      <c r="V362" s="32"/>
      <c r="W362" s="32"/>
      <c r="X362" s="32"/>
      <c r="Y362" s="32"/>
      <c r="Z362" s="32"/>
      <c r="AA362" s="32"/>
    </row>
    <row r="363" spans="1:27" x14ac:dyDescent="0.25">
      <c r="A363" s="32"/>
      <c r="B363" s="47"/>
      <c r="C363" s="109"/>
      <c r="D363" s="42"/>
      <c r="E363" s="47"/>
      <c r="F363" s="47"/>
      <c r="G363" s="47"/>
      <c r="H363" s="47"/>
      <c r="I363" s="32"/>
      <c r="J363" s="32"/>
      <c r="K363" s="31"/>
      <c r="L363" s="32"/>
      <c r="M363" s="32"/>
      <c r="N363" s="33"/>
      <c r="O363" s="32"/>
      <c r="P363" s="32"/>
      <c r="Q363" s="32"/>
      <c r="R363" s="32"/>
      <c r="S363" s="32"/>
      <c r="T363" s="32"/>
      <c r="U363" s="32"/>
      <c r="V363" s="32"/>
      <c r="W363" s="32"/>
      <c r="X363" s="32"/>
      <c r="Y363" s="32"/>
      <c r="Z363" s="32"/>
      <c r="AA363" s="32"/>
    </row>
    <row r="364" spans="1:27" x14ac:dyDescent="0.25">
      <c r="A364" s="32"/>
      <c r="B364" s="47"/>
      <c r="C364" s="109"/>
      <c r="D364" s="42"/>
      <c r="E364" s="47"/>
      <c r="F364" s="47"/>
      <c r="G364" s="47"/>
      <c r="H364" s="47"/>
      <c r="I364" s="32"/>
      <c r="J364" s="32"/>
      <c r="K364" s="31"/>
      <c r="L364" s="32"/>
      <c r="M364" s="32"/>
      <c r="N364" s="33"/>
      <c r="O364" s="32"/>
      <c r="P364" s="32"/>
      <c r="Q364" s="32"/>
      <c r="R364" s="32"/>
      <c r="S364" s="32"/>
      <c r="T364" s="32"/>
      <c r="U364" s="32"/>
      <c r="V364" s="32"/>
      <c r="W364" s="32"/>
      <c r="X364" s="32"/>
      <c r="Y364" s="32"/>
      <c r="Z364" s="32"/>
      <c r="AA364" s="32"/>
    </row>
    <row r="365" spans="1:27" x14ac:dyDescent="0.25">
      <c r="A365" s="32"/>
      <c r="B365" s="47"/>
      <c r="C365" s="109"/>
      <c r="D365" s="42"/>
      <c r="E365" s="47"/>
      <c r="F365" s="47"/>
      <c r="G365" s="47"/>
      <c r="H365" s="47"/>
      <c r="I365" s="32"/>
      <c r="J365" s="32"/>
      <c r="K365" s="31"/>
      <c r="L365" s="32"/>
      <c r="M365" s="32"/>
      <c r="N365" s="33"/>
      <c r="O365" s="32"/>
      <c r="P365" s="32"/>
      <c r="Q365" s="32"/>
      <c r="R365" s="32"/>
      <c r="S365" s="32"/>
      <c r="T365" s="32"/>
      <c r="U365" s="32"/>
      <c r="V365" s="32"/>
      <c r="W365" s="32"/>
      <c r="X365" s="32"/>
      <c r="Y365" s="32"/>
      <c r="Z365" s="32"/>
      <c r="AA365" s="32"/>
    </row>
    <row r="366" spans="1:27" x14ac:dyDescent="0.25">
      <c r="A366" s="32"/>
      <c r="B366" s="47"/>
      <c r="C366" s="109"/>
      <c r="D366" s="42"/>
      <c r="E366" s="47"/>
      <c r="F366" s="47"/>
      <c r="G366" s="47"/>
      <c r="H366" s="47"/>
      <c r="I366" s="32"/>
      <c r="J366" s="32"/>
      <c r="K366" s="31"/>
      <c r="L366" s="32"/>
      <c r="M366" s="32"/>
      <c r="N366" s="33"/>
      <c r="O366" s="32"/>
      <c r="P366" s="32"/>
      <c r="Q366" s="32"/>
      <c r="R366" s="32"/>
      <c r="S366" s="32"/>
      <c r="T366" s="32"/>
      <c r="U366" s="32"/>
      <c r="V366" s="32"/>
      <c r="W366" s="32"/>
      <c r="X366" s="32"/>
      <c r="Y366" s="32"/>
      <c r="Z366" s="32"/>
      <c r="AA366" s="32"/>
    </row>
    <row r="367" spans="1:27" x14ac:dyDescent="0.25">
      <c r="A367" s="32"/>
      <c r="B367" s="47"/>
      <c r="C367" s="109"/>
      <c r="D367" s="42"/>
      <c r="E367" s="47"/>
      <c r="F367" s="47"/>
      <c r="G367" s="47"/>
      <c r="H367" s="47"/>
      <c r="I367" s="32"/>
      <c r="J367" s="32"/>
      <c r="K367" s="31"/>
      <c r="L367" s="32"/>
      <c r="M367" s="32"/>
      <c r="N367" s="33"/>
      <c r="O367" s="32"/>
      <c r="P367" s="32"/>
      <c r="Q367" s="32"/>
      <c r="R367" s="32"/>
      <c r="S367" s="32"/>
      <c r="T367" s="32"/>
      <c r="U367" s="32"/>
      <c r="V367" s="32"/>
      <c r="W367" s="32"/>
      <c r="X367" s="32"/>
      <c r="Y367" s="32"/>
      <c r="Z367" s="32"/>
      <c r="AA367" s="32"/>
    </row>
    <row r="368" spans="1:27" x14ac:dyDescent="0.25">
      <c r="A368" s="32"/>
      <c r="B368" s="47"/>
      <c r="C368" s="109"/>
      <c r="D368" s="42"/>
      <c r="E368" s="47"/>
      <c r="F368" s="47"/>
      <c r="G368" s="47"/>
      <c r="H368" s="47"/>
      <c r="I368" s="32"/>
      <c r="J368" s="32"/>
      <c r="K368" s="31"/>
      <c r="L368" s="32"/>
      <c r="M368" s="32"/>
      <c r="N368" s="33"/>
      <c r="O368" s="32"/>
      <c r="P368" s="32"/>
      <c r="Q368" s="32"/>
      <c r="R368" s="32"/>
      <c r="S368" s="32"/>
      <c r="T368" s="32"/>
      <c r="U368" s="32"/>
      <c r="V368" s="32"/>
      <c r="W368" s="32"/>
      <c r="X368" s="32"/>
      <c r="Y368" s="32"/>
      <c r="Z368" s="32"/>
      <c r="AA368" s="32"/>
    </row>
    <row r="369" spans="1:27" x14ac:dyDescent="0.25">
      <c r="A369" s="32"/>
      <c r="B369" s="47"/>
      <c r="C369" s="109"/>
      <c r="D369" s="42"/>
      <c r="E369" s="47"/>
      <c r="F369" s="47"/>
      <c r="G369" s="47"/>
      <c r="H369" s="47"/>
      <c r="I369" s="32"/>
      <c r="J369" s="32"/>
      <c r="K369" s="31"/>
      <c r="L369" s="32"/>
      <c r="M369" s="32"/>
      <c r="N369" s="33"/>
      <c r="O369" s="32"/>
      <c r="P369" s="32"/>
      <c r="Q369" s="32"/>
      <c r="R369" s="32"/>
      <c r="S369" s="32"/>
      <c r="T369" s="32"/>
      <c r="U369" s="32"/>
      <c r="V369" s="32"/>
      <c r="W369" s="32"/>
      <c r="X369" s="32"/>
      <c r="Y369" s="32"/>
      <c r="Z369" s="32"/>
      <c r="AA369" s="32"/>
    </row>
    <row r="370" spans="1:27" x14ac:dyDescent="0.25">
      <c r="A370" s="32"/>
      <c r="B370" s="47"/>
      <c r="C370" s="109"/>
      <c r="D370" s="42"/>
      <c r="E370" s="47"/>
      <c r="F370" s="47"/>
      <c r="G370" s="47"/>
      <c r="H370" s="47"/>
      <c r="I370" s="32"/>
      <c r="J370" s="32"/>
      <c r="K370" s="31"/>
      <c r="L370" s="32"/>
      <c r="M370" s="32"/>
      <c r="N370" s="33"/>
      <c r="O370" s="32"/>
      <c r="P370" s="32"/>
      <c r="Q370" s="32"/>
      <c r="R370" s="32"/>
      <c r="S370" s="32"/>
      <c r="T370" s="32"/>
      <c r="U370" s="32"/>
      <c r="V370" s="32"/>
      <c r="W370" s="32"/>
      <c r="X370" s="32"/>
      <c r="Y370" s="32"/>
      <c r="Z370" s="32"/>
      <c r="AA370" s="32"/>
    </row>
    <row r="371" spans="1:27" x14ac:dyDescent="0.25">
      <c r="A371" s="32"/>
      <c r="B371" s="47"/>
      <c r="C371" s="109"/>
      <c r="D371" s="42"/>
      <c r="E371" s="47"/>
      <c r="F371" s="47"/>
      <c r="G371" s="47"/>
      <c r="H371" s="47"/>
      <c r="I371" s="32"/>
      <c r="J371" s="32"/>
      <c r="K371" s="31"/>
      <c r="L371" s="32"/>
      <c r="M371" s="32"/>
      <c r="N371" s="33"/>
      <c r="O371" s="32"/>
      <c r="P371" s="32"/>
      <c r="Q371" s="32"/>
      <c r="R371" s="32"/>
      <c r="S371" s="32"/>
      <c r="T371" s="32"/>
      <c r="U371" s="32"/>
      <c r="V371" s="32"/>
      <c r="W371" s="32"/>
      <c r="X371" s="32"/>
      <c r="Y371" s="32"/>
      <c r="Z371" s="32"/>
      <c r="AA371" s="32"/>
    </row>
    <row r="372" spans="1:27" x14ac:dyDescent="0.25">
      <c r="A372" s="32"/>
      <c r="B372" s="47"/>
      <c r="C372" s="109"/>
      <c r="D372" s="42"/>
      <c r="E372" s="47"/>
      <c r="F372" s="47"/>
      <c r="G372" s="47"/>
      <c r="H372" s="47"/>
      <c r="I372" s="32"/>
      <c r="J372" s="32"/>
      <c r="K372" s="31"/>
      <c r="L372" s="32"/>
      <c r="M372" s="32"/>
      <c r="N372" s="33"/>
      <c r="O372" s="32"/>
      <c r="P372" s="32"/>
      <c r="Q372" s="32"/>
      <c r="R372" s="32"/>
      <c r="S372" s="32"/>
      <c r="T372" s="32"/>
      <c r="U372" s="32"/>
      <c r="V372" s="32"/>
      <c r="W372" s="32"/>
      <c r="X372" s="32"/>
      <c r="Y372" s="32"/>
      <c r="Z372" s="32"/>
      <c r="AA372" s="32"/>
    </row>
    <row r="373" spans="1:27" x14ac:dyDescent="0.25">
      <c r="A373" s="32"/>
      <c r="B373" s="47"/>
      <c r="C373" s="109"/>
      <c r="D373" s="42"/>
      <c r="E373" s="47"/>
      <c r="F373" s="47"/>
      <c r="G373" s="47"/>
      <c r="H373" s="47"/>
      <c r="I373" s="32"/>
      <c r="J373" s="32"/>
      <c r="K373" s="31"/>
      <c r="L373" s="32"/>
      <c r="M373" s="32"/>
      <c r="N373" s="33"/>
      <c r="O373" s="32"/>
      <c r="P373" s="32"/>
      <c r="Q373" s="32"/>
      <c r="R373" s="32"/>
      <c r="S373" s="32"/>
      <c r="T373" s="32"/>
      <c r="U373" s="32"/>
      <c r="V373" s="32"/>
      <c r="W373" s="32"/>
      <c r="X373" s="32"/>
      <c r="Y373" s="32"/>
      <c r="Z373" s="32"/>
      <c r="AA373" s="32"/>
    </row>
    <row r="374" spans="1:27" x14ac:dyDescent="0.25">
      <c r="A374" s="32"/>
      <c r="B374" s="47"/>
      <c r="C374" s="109"/>
      <c r="D374" s="42"/>
      <c r="E374" s="47"/>
      <c r="F374" s="47"/>
      <c r="G374" s="47"/>
      <c r="H374" s="47"/>
      <c r="I374" s="32"/>
      <c r="J374" s="32"/>
      <c r="K374" s="31"/>
      <c r="L374" s="32"/>
      <c r="M374" s="32"/>
      <c r="N374" s="33"/>
      <c r="O374" s="32"/>
      <c r="P374" s="32"/>
      <c r="Q374" s="32"/>
      <c r="R374" s="32"/>
      <c r="S374" s="32"/>
      <c r="T374" s="32"/>
      <c r="U374" s="32"/>
      <c r="V374" s="32"/>
      <c r="W374" s="32"/>
      <c r="X374" s="32"/>
      <c r="Y374" s="32"/>
      <c r="Z374" s="32"/>
      <c r="AA374" s="32"/>
    </row>
    <row r="375" spans="1:27" x14ac:dyDescent="0.25">
      <c r="A375" s="32"/>
      <c r="B375" s="47"/>
      <c r="C375" s="109"/>
      <c r="D375" s="42"/>
      <c r="E375" s="47"/>
      <c r="F375" s="47"/>
      <c r="G375" s="47"/>
      <c r="H375" s="47"/>
      <c r="I375" s="32"/>
      <c r="J375" s="32"/>
      <c r="K375" s="31"/>
      <c r="L375" s="32"/>
      <c r="M375" s="32"/>
      <c r="N375" s="33"/>
      <c r="O375" s="32"/>
      <c r="P375" s="32"/>
      <c r="Q375" s="32"/>
      <c r="R375" s="32"/>
      <c r="S375" s="32"/>
      <c r="T375" s="32"/>
      <c r="U375" s="32"/>
      <c r="V375" s="32"/>
      <c r="W375" s="32"/>
      <c r="X375" s="32"/>
      <c r="Y375" s="32"/>
      <c r="Z375" s="32"/>
      <c r="AA375" s="32"/>
    </row>
    <row r="376" spans="1:27" x14ac:dyDescent="0.25">
      <c r="A376" s="32"/>
      <c r="B376" s="47"/>
      <c r="C376" s="109"/>
      <c r="D376" s="42"/>
      <c r="E376" s="47"/>
      <c r="F376" s="47"/>
      <c r="G376" s="47"/>
      <c r="H376" s="47"/>
      <c r="I376" s="32"/>
      <c r="J376" s="32"/>
      <c r="K376" s="31"/>
      <c r="L376" s="32"/>
      <c r="M376" s="32"/>
      <c r="N376" s="33"/>
      <c r="O376" s="32"/>
      <c r="P376" s="32"/>
      <c r="Q376" s="32"/>
      <c r="R376" s="32"/>
      <c r="S376" s="32"/>
      <c r="T376" s="32"/>
      <c r="U376" s="32"/>
      <c r="V376" s="32"/>
      <c r="W376" s="32"/>
      <c r="X376" s="32"/>
      <c r="Y376" s="32"/>
      <c r="Z376" s="32"/>
      <c r="AA376" s="32"/>
    </row>
  </sheetData>
  <mergeCells count="109">
    <mergeCell ref="A2:B2"/>
    <mergeCell ref="C2:E2"/>
    <mergeCell ref="A3:B3"/>
    <mergeCell ref="A6:B6"/>
    <mergeCell ref="A4:B4"/>
    <mergeCell ref="A5:B5"/>
    <mergeCell ref="A170:A173"/>
    <mergeCell ref="A176:A178"/>
    <mergeCell ref="A181:A183"/>
    <mergeCell ref="C3:H3"/>
    <mergeCell ref="C4:H4"/>
    <mergeCell ref="C5:H5"/>
    <mergeCell ref="C6:H6"/>
    <mergeCell ref="A7:J7"/>
    <mergeCell ref="A151:A154"/>
    <mergeCell ref="C28:J28"/>
    <mergeCell ref="C31:J31"/>
    <mergeCell ref="C15:J15"/>
    <mergeCell ref="B51:H51"/>
    <mergeCell ref="B19:H19"/>
    <mergeCell ref="A9:A19"/>
    <mergeCell ref="A20:J20"/>
    <mergeCell ref="A52:J52"/>
    <mergeCell ref="A64:J64"/>
    <mergeCell ref="A1:H1"/>
    <mergeCell ref="I1:J6"/>
    <mergeCell ref="G2:H2"/>
    <mergeCell ref="F194:I194"/>
    <mergeCell ref="A149:J149"/>
    <mergeCell ref="A155:J155"/>
    <mergeCell ref="A163:J163"/>
    <mergeCell ref="A124:J124"/>
    <mergeCell ref="A95:A98"/>
    <mergeCell ref="A101:A117"/>
    <mergeCell ref="A120:A123"/>
    <mergeCell ref="A126:A148"/>
    <mergeCell ref="B117:H117"/>
    <mergeCell ref="B123:H123"/>
    <mergeCell ref="B148:H148"/>
    <mergeCell ref="C101:J101"/>
    <mergeCell ref="C120:J120"/>
    <mergeCell ref="C126:J126"/>
    <mergeCell ref="C136:J136"/>
    <mergeCell ref="A99:J99"/>
    <mergeCell ref="C116:J116"/>
    <mergeCell ref="A118:J118"/>
    <mergeCell ref="A157:A162"/>
    <mergeCell ref="A165:A167"/>
    <mergeCell ref="A71:J71"/>
    <mergeCell ref="A22:A51"/>
    <mergeCell ref="A54:A63"/>
    <mergeCell ref="A66:A70"/>
    <mergeCell ref="A73:A75"/>
    <mergeCell ref="C13:J13"/>
    <mergeCell ref="C66:J66"/>
    <mergeCell ref="C68:J68"/>
    <mergeCell ref="C9:D9"/>
    <mergeCell ref="C22:J22"/>
    <mergeCell ref="C25:J25"/>
    <mergeCell ref="C11:D11"/>
    <mergeCell ref="C12:D12"/>
    <mergeCell ref="B63:H63"/>
    <mergeCell ref="C35:J35"/>
    <mergeCell ref="C40:J40"/>
    <mergeCell ref="C43:J43"/>
    <mergeCell ref="A194:C194"/>
    <mergeCell ref="D193:E193"/>
    <mergeCell ref="D194:E194"/>
    <mergeCell ref="C151:J151"/>
    <mergeCell ref="C157:J157"/>
    <mergeCell ref="C165:J165"/>
    <mergeCell ref="C170:J170"/>
    <mergeCell ref="C176:J176"/>
    <mergeCell ref="C47:J47"/>
    <mergeCell ref="C54:J54"/>
    <mergeCell ref="B154:H154"/>
    <mergeCell ref="B162:H162"/>
    <mergeCell ref="B167:H167"/>
    <mergeCell ref="B173:H173"/>
    <mergeCell ref="B178:H178"/>
    <mergeCell ref="B70:H70"/>
    <mergeCell ref="B75:H75"/>
    <mergeCell ref="B92:H92"/>
    <mergeCell ref="B89:H89"/>
    <mergeCell ref="B98:H98"/>
    <mergeCell ref="A192:E192"/>
    <mergeCell ref="A193:C193"/>
    <mergeCell ref="C73:J73"/>
    <mergeCell ref="C78:J78"/>
    <mergeCell ref="A191:J191"/>
    <mergeCell ref="F192:I192"/>
    <mergeCell ref="F193:I193"/>
    <mergeCell ref="A76:J76"/>
    <mergeCell ref="A93:J93"/>
    <mergeCell ref="A78:A92"/>
    <mergeCell ref="A174:J174"/>
    <mergeCell ref="A179:J179"/>
    <mergeCell ref="A168:J168"/>
    <mergeCell ref="B183:H183"/>
    <mergeCell ref="C181:J181"/>
    <mergeCell ref="C90:J90"/>
    <mergeCell ref="C95:J95"/>
    <mergeCell ref="A190:J190"/>
    <mergeCell ref="A184:J184"/>
    <mergeCell ref="A186:A189"/>
    <mergeCell ref="B189:H189"/>
    <mergeCell ref="C188:D188"/>
    <mergeCell ref="C186:D186"/>
    <mergeCell ref="C187:D187"/>
  </mergeCells>
  <pageMargins left="0.51181102362204722" right="0.51181102362204722" top="0.55118110236220474" bottom="0.55118110236220474" header="0" footer="0"/>
  <pageSetup scale="61" fitToHeight="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CN116"/>
  <sheetViews>
    <sheetView view="pageBreakPreview" zoomScale="78" zoomScaleNormal="55" zoomScaleSheetLayoutView="78" workbookViewId="0">
      <pane xSplit="2" ySplit="4" topLeftCell="C11" activePane="bottomRight" state="frozen"/>
      <selection pane="topRight" activeCell="C1" sqref="C1"/>
      <selection pane="bottomLeft" activeCell="A5" sqref="A5"/>
      <selection pane="bottomRight" activeCell="B42" sqref="B42"/>
    </sheetView>
  </sheetViews>
  <sheetFormatPr baseColWidth="10" defaultColWidth="14.42578125" defaultRowHeight="15" customHeight="1" x14ac:dyDescent="0.25"/>
  <cols>
    <col min="1" max="1" width="7.7109375" style="111" customWidth="1"/>
    <col min="2" max="2" width="33.7109375" style="111" customWidth="1"/>
    <col min="3" max="5" width="2.5703125" style="111" customWidth="1"/>
    <col min="6" max="6" width="2.5703125" style="121" customWidth="1"/>
    <col min="7" max="11" width="2.5703125" style="111" customWidth="1"/>
    <col min="12" max="12" width="3.7109375" style="111" customWidth="1"/>
    <col min="13" max="13" width="3.7109375" style="121" customWidth="1"/>
    <col min="14" max="19" width="3.7109375" style="111" customWidth="1"/>
    <col min="20" max="20" width="3.7109375" style="121" customWidth="1"/>
    <col min="21" max="26" width="3.7109375" style="111" customWidth="1"/>
    <col min="27" max="27" width="3.7109375" style="121" customWidth="1"/>
    <col min="28" max="33" width="3.7109375" style="111" customWidth="1"/>
    <col min="34" max="34" width="3.7109375" style="121" customWidth="1"/>
    <col min="35" max="40" width="3.7109375" style="111" customWidth="1"/>
    <col min="41" max="41" width="3.7109375" style="121" customWidth="1"/>
    <col min="42" max="47" width="3.7109375" style="111" customWidth="1"/>
    <col min="48" max="48" width="3.7109375" style="121" customWidth="1"/>
    <col min="49" max="54" width="3.7109375" style="111" customWidth="1"/>
    <col min="55" max="55" width="3.7109375" style="121" customWidth="1"/>
    <col min="56" max="61" width="3.7109375" style="111" customWidth="1"/>
    <col min="62" max="62" width="3.7109375" style="121" customWidth="1"/>
    <col min="63" max="68" width="3.7109375" style="111" customWidth="1"/>
    <col min="69" max="69" width="3.7109375" style="121" customWidth="1"/>
    <col min="70" max="71" width="3.7109375" style="111" customWidth="1"/>
    <col min="72" max="73" width="2.5703125" style="111" customWidth="1"/>
    <col min="74" max="75" width="3.7109375" style="111" customWidth="1"/>
    <col min="76" max="76" width="3.7109375" style="121" customWidth="1"/>
    <col min="77" max="82" width="3.7109375" style="111" customWidth="1"/>
    <col min="83" max="83" width="3.7109375" style="121" customWidth="1"/>
    <col min="84" max="89" width="3.7109375" style="111" customWidth="1"/>
    <col min="90" max="90" width="3.7109375" style="121" customWidth="1"/>
    <col min="91" max="92" width="3.7109375" style="111" customWidth="1"/>
    <col min="93" max="16384" width="14.42578125" style="111"/>
  </cols>
  <sheetData>
    <row r="1" spans="1:92" ht="15" customHeight="1" x14ac:dyDescent="0.25">
      <c r="A1" s="231" t="s">
        <v>321</v>
      </c>
      <c r="B1" s="231"/>
      <c r="C1" s="231"/>
      <c r="D1" s="231"/>
      <c r="E1" s="231"/>
      <c r="F1" s="231"/>
      <c r="G1" s="231"/>
      <c r="H1" s="231"/>
      <c r="I1" s="231"/>
      <c r="J1" s="231"/>
      <c r="K1" s="231"/>
      <c r="L1" s="231"/>
      <c r="M1" s="231"/>
      <c r="N1" s="231"/>
      <c r="O1" s="231"/>
      <c r="P1" s="231"/>
      <c r="Q1" s="231"/>
      <c r="R1" s="231"/>
      <c r="S1" s="231"/>
      <c r="T1" s="231"/>
      <c r="U1" s="231"/>
      <c r="V1" s="231"/>
      <c r="W1" s="231"/>
      <c r="X1" s="231"/>
      <c r="Y1" s="231"/>
      <c r="Z1" s="231"/>
      <c r="AA1" s="231"/>
      <c r="AB1" s="231"/>
      <c r="AC1" s="231"/>
      <c r="AD1" s="231"/>
      <c r="AE1" s="231"/>
      <c r="AF1" s="231"/>
      <c r="AG1" s="231"/>
      <c r="AH1" s="231"/>
      <c r="AI1" s="231"/>
      <c r="AJ1" s="231"/>
      <c r="AK1" s="231"/>
      <c r="AL1" s="231"/>
      <c r="AM1" s="231"/>
      <c r="AN1" s="231"/>
      <c r="AO1" s="231"/>
      <c r="AP1" s="231"/>
      <c r="AQ1" s="231"/>
      <c r="AR1" s="231"/>
      <c r="AS1" s="231"/>
      <c r="AT1" s="231"/>
      <c r="AU1" s="231"/>
      <c r="AV1" s="231"/>
      <c r="AW1" s="231"/>
      <c r="AX1" s="231"/>
      <c r="AY1" s="231"/>
      <c r="AZ1" s="231"/>
      <c r="BA1" s="231"/>
      <c r="BB1" s="231"/>
      <c r="BC1" s="231"/>
      <c r="BD1" s="231"/>
      <c r="BE1" s="231"/>
      <c r="BF1" s="231"/>
      <c r="BG1" s="231"/>
      <c r="BH1" s="231"/>
      <c r="BI1" s="231"/>
      <c r="BJ1" s="231"/>
      <c r="BK1" s="231"/>
      <c r="BL1" s="231"/>
      <c r="BM1" s="231"/>
      <c r="BN1" s="231"/>
      <c r="BO1" s="231"/>
      <c r="BP1" s="231"/>
      <c r="BQ1" s="231"/>
      <c r="BR1" s="231"/>
      <c r="BS1" s="231"/>
      <c r="BT1" s="231"/>
      <c r="BU1" s="231"/>
      <c r="BV1" s="231"/>
      <c r="BW1" s="231"/>
      <c r="BX1" s="231"/>
      <c r="BY1" s="231"/>
      <c r="BZ1" s="231"/>
      <c r="CA1" s="231"/>
      <c r="CB1" s="231"/>
      <c r="CC1" s="231"/>
      <c r="CD1" s="231"/>
      <c r="CE1" s="231"/>
      <c r="CF1" s="231"/>
      <c r="CG1" s="231"/>
      <c r="CH1" s="231"/>
      <c r="CI1" s="231"/>
      <c r="CJ1" s="231"/>
      <c r="CK1" s="231"/>
      <c r="CL1" s="231"/>
      <c r="CM1" s="231"/>
      <c r="CN1" s="231"/>
    </row>
    <row r="2" spans="1:92" ht="18" customHeight="1" x14ac:dyDescent="0.25">
      <c r="A2" s="191" t="s">
        <v>269</v>
      </c>
      <c r="B2" s="191" t="s">
        <v>312</v>
      </c>
      <c r="C2" s="224" t="s">
        <v>315</v>
      </c>
      <c r="D2" s="224"/>
      <c r="E2" s="224"/>
      <c r="F2" s="224"/>
      <c r="G2" s="224"/>
      <c r="H2" s="224"/>
      <c r="I2" s="224"/>
      <c r="J2" s="224"/>
      <c r="K2" s="224"/>
      <c r="L2" s="224"/>
      <c r="M2" s="224"/>
      <c r="N2" s="224"/>
      <c r="O2" s="224"/>
      <c r="P2" s="224"/>
      <c r="Q2" s="224"/>
      <c r="R2" s="224"/>
      <c r="S2" s="224"/>
      <c r="T2" s="224"/>
      <c r="U2" s="224"/>
      <c r="V2" s="224"/>
      <c r="W2" s="224"/>
      <c r="X2" s="224"/>
      <c r="Y2" s="224"/>
      <c r="Z2" s="224"/>
      <c r="AA2" s="224"/>
      <c r="AB2" s="224"/>
      <c r="AC2" s="224"/>
      <c r="AD2" s="224"/>
      <c r="AE2" s="224"/>
      <c r="AF2" s="224"/>
      <c r="AG2" s="224"/>
      <c r="AH2" s="224" t="s">
        <v>316</v>
      </c>
      <c r="AI2" s="224"/>
      <c r="AJ2" s="224"/>
      <c r="AK2" s="224"/>
      <c r="AL2" s="224"/>
      <c r="AM2" s="224"/>
      <c r="AN2" s="224"/>
      <c r="AO2" s="224"/>
      <c r="AP2" s="224"/>
      <c r="AQ2" s="224"/>
      <c r="AR2" s="224"/>
      <c r="AS2" s="224"/>
      <c r="AT2" s="224"/>
      <c r="AU2" s="224"/>
      <c r="AV2" s="224"/>
      <c r="AW2" s="224"/>
      <c r="AX2" s="224"/>
      <c r="AY2" s="224"/>
      <c r="AZ2" s="224"/>
      <c r="BA2" s="224"/>
      <c r="BB2" s="224"/>
      <c r="BC2" s="224"/>
      <c r="BD2" s="224"/>
      <c r="BE2" s="224"/>
      <c r="BF2" s="224"/>
      <c r="BG2" s="224"/>
      <c r="BH2" s="224"/>
      <c r="BI2" s="224"/>
      <c r="BJ2" s="224"/>
      <c r="BK2" s="224"/>
      <c r="BL2" s="224"/>
      <c r="BM2" s="225" t="s">
        <v>317</v>
      </c>
      <c r="BN2" s="225"/>
      <c r="BO2" s="225"/>
      <c r="BP2" s="225"/>
      <c r="BQ2" s="225"/>
      <c r="BR2" s="225"/>
      <c r="BS2" s="225"/>
      <c r="BT2" s="225"/>
      <c r="BU2" s="225"/>
      <c r="BV2" s="225"/>
      <c r="BW2" s="225"/>
      <c r="BX2" s="225"/>
      <c r="BY2" s="225"/>
      <c r="BZ2" s="225"/>
      <c r="CA2" s="225"/>
      <c r="CB2" s="225"/>
      <c r="CC2" s="225"/>
      <c r="CD2" s="225"/>
      <c r="CE2" s="225"/>
      <c r="CF2" s="225"/>
      <c r="CG2" s="225"/>
      <c r="CH2" s="225"/>
      <c r="CI2" s="225"/>
      <c r="CJ2" s="225"/>
      <c r="CK2" s="225"/>
      <c r="CL2" s="225"/>
      <c r="CM2" s="225"/>
      <c r="CN2" s="225"/>
    </row>
    <row r="3" spans="1:92" ht="18" customHeight="1" thickBot="1" x14ac:dyDescent="0.3">
      <c r="A3" s="191"/>
      <c r="B3" s="191"/>
      <c r="C3" s="224" t="s">
        <v>143</v>
      </c>
      <c r="D3" s="232"/>
      <c r="E3" s="232"/>
      <c r="F3" s="232"/>
      <c r="G3" s="232"/>
      <c r="H3" s="232"/>
      <c r="I3" s="232"/>
      <c r="J3" s="224" t="s">
        <v>144</v>
      </c>
      <c r="K3" s="232"/>
      <c r="L3" s="232"/>
      <c r="M3" s="232"/>
      <c r="N3" s="232"/>
      <c r="O3" s="232"/>
      <c r="P3" s="232"/>
      <c r="Q3" s="224" t="s">
        <v>145</v>
      </c>
      <c r="R3" s="232"/>
      <c r="S3" s="232"/>
      <c r="T3" s="232"/>
      <c r="U3" s="232"/>
      <c r="V3" s="232"/>
      <c r="W3" s="232"/>
      <c r="X3" s="224" t="s">
        <v>146</v>
      </c>
      <c r="Y3" s="232"/>
      <c r="Z3" s="232"/>
      <c r="AA3" s="232"/>
      <c r="AB3" s="232"/>
      <c r="AC3" s="232"/>
      <c r="AD3" s="232"/>
      <c r="AE3" s="224" t="s">
        <v>147</v>
      </c>
      <c r="AF3" s="232"/>
      <c r="AG3" s="232"/>
      <c r="AH3" s="232"/>
      <c r="AI3" s="232"/>
      <c r="AJ3" s="232"/>
      <c r="AK3" s="232"/>
      <c r="AL3" s="224" t="s">
        <v>148</v>
      </c>
      <c r="AM3" s="232"/>
      <c r="AN3" s="232"/>
      <c r="AO3" s="232"/>
      <c r="AP3" s="232"/>
      <c r="AQ3" s="232"/>
      <c r="AR3" s="232"/>
      <c r="AS3" s="224" t="s">
        <v>149</v>
      </c>
      <c r="AT3" s="232"/>
      <c r="AU3" s="232"/>
      <c r="AV3" s="232"/>
      <c r="AW3" s="232"/>
      <c r="AX3" s="232"/>
      <c r="AY3" s="232"/>
      <c r="AZ3" s="224" t="s">
        <v>150</v>
      </c>
      <c r="BA3" s="232"/>
      <c r="BB3" s="232"/>
      <c r="BC3" s="232"/>
      <c r="BD3" s="232"/>
      <c r="BE3" s="232"/>
      <c r="BF3" s="232"/>
      <c r="BG3" s="224" t="s">
        <v>151</v>
      </c>
      <c r="BH3" s="232"/>
      <c r="BI3" s="232"/>
      <c r="BJ3" s="233"/>
      <c r="BK3" s="232"/>
      <c r="BL3" s="232"/>
      <c r="BM3" s="232"/>
      <c r="BN3" s="224" t="s">
        <v>152</v>
      </c>
      <c r="BO3" s="232"/>
      <c r="BP3" s="232"/>
      <c r="BQ3" s="232"/>
      <c r="BR3" s="232"/>
      <c r="BS3" s="232"/>
      <c r="BT3" s="232"/>
      <c r="BU3" s="224" t="s">
        <v>153</v>
      </c>
      <c r="BV3" s="232"/>
      <c r="BW3" s="232"/>
      <c r="BX3" s="232"/>
      <c r="BY3" s="232"/>
      <c r="BZ3" s="232"/>
      <c r="CA3" s="232"/>
      <c r="CB3" s="224" t="s">
        <v>154</v>
      </c>
      <c r="CC3" s="232"/>
      <c r="CD3" s="232"/>
      <c r="CE3" s="232"/>
      <c r="CF3" s="232"/>
      <c r="CG3" s="232"/>
      <c r="CH3" s="232"/>
      <c r="CI3" s="224" t="s">
        <v>155</v>
      </c>
      <c r="CJ3" s="232"/>
      <c r="CK3" s="232"/>
      <c r="CL3" s="232"/>
      <c r="CM3" s="232"/>
      <c r="CN3" s="233"/>
    </row>
    <row r="4" spans="1:92" s="121" customFormat="1" ht="18" customHeight="1" thickBot="1" x14ac:dyDescent="0.3">
      <c r="A4" s="191"/>
      <c r="B4" s="191"/>
      <c r="C4" s="123">
        <v>1</v>
      </c>
      <c r="D4" s="123">
        <v>2</v>
      </c>
      <c r="E4" s="123">
        <v>3</v>
      </c>
      <c r="F4" s="123">
        <v>4</v>
      </c>
      <c r="G4" s="123">
        <v>5</v>
      </c>
      <c r="H4" s="123">
        <v>6</v>
      </c>
      <c r="I4" s="123">
        <v>7</v>
      </c>
      <c r="J4" s="123">
        <v>8</v>
      </c>
      <c r="K4" s="123">
        <v>9</v>
      </c>
      <c r="L4" s="123">
        <v>10</v>
      </c>
      <c r="M4" s="123">
        <v>11</v>
      </c>
      <c r="N4" s="123">
        <v>12</v>
      </c>
      <c r="O4" s="123">
        <v>13</v>
      </c>
      <c r="P4" s="123">
        <v>14</v>
      </c>
      <c r="Q4" s="123">
        <v>15</v>
      </c>
      <c r="R4" s="123">
        <v>16</v>
      </c>
      <c r="S4" s="123">
        <v>17</v>
      </c>
      <c r="T4" s="123">
        <v>18</v>
      </c>
      <c r="U4" s="123">
        <v>19</v>
      </c>
      <c r="V4" s="123">
        <v>20</v>
      </c>
      <c r="W4" s="123">
        <v>21</v>
      </c>
      <c r="X4" s="123">
        <v>22</v>
      </c>
      <c r="Y4" s="123">
        <v>23</v>
      </c>
      <c r="Z4" s="123">
        <v>24</v>
      </c>
      <c r="AA4" s="123">
        <v>25</v>
      </c>
      <c r="AB4" s="123">
        <v>26</v>
      </c>
      <c r="AC4" s="123">
        <v>27</v>
      </c>
      <c r="AD4" s="123">
        <v>28</v>
      </c>
      <c r="AE4" s="123">
        <v>29</v>
      </c>
      <c r="AF4" s="123">
        <v>30</v>
      </c>
      <c r="AG4" s="123">
        <v>31</v>
      </c>
      <c r="AH4" s="123">
        <v>1</v>
      </c>
      <c r="AI4" s="123">
        <v>2</v>
      </c>
      <c r="AJ4" s="123">
        <v>3</v>
      </c>
      <c r="AK4" s="123">
        <v>4</v>
      </c>
      <c r="AL4" s="123">
        <v>5</v>
      </c>
      <c r="AM4" s="123">
        <v>6</v>
      </c>
      <c r="AN4" s="123">
        <v>7</v>
      </c>
      <c r="AO4" s="123">
        <v>8</v>
      </c>
      <c r="AP4" s="123">
        <v>9</v>
      </c>
      <c r="AQ4" s="123">
        <v>10</v>
      </c>
      <c r="AR4" s="123">
        <v>11</v>
      </c>
      <c r="AS4" s="123">
        <v>12</v>
      </c>
      <c r="AT4" s="123">
        <v>13</v>
      </c>
      <c r="AU4" s="123">
        <v>14</v>
      </c>
      <c r="AV4" s="123">
        <v>15</v>
      </c>
      <c r="AW4" s="123">
        <v>16</v>
      </c>
      <c r="AX4" s="123">
        <v>17</v>
      </c>
      <c r="AY4" s="123">
        <v>18</v>
      </c>
      <c r="AZ4" s="123">
        <v>19</v>
      </c>
      <c r="BA4" s="123">
        <v>20</v>
      </c>
      <c r="BB4" s="123">
        <v>21</v>
      </c>
      <c r="BC4" s="123">
        <v>22</v>
      </c>
      <c r="BD4" s="123">
        <v>23</v>
      </c>
      <c r="BE4" s="123">
        <v>24</v>
      </c>
      <c r="BF4" s="123">
        <v>25</v>
      </c>
      <c r="BG4" s="123">
        <v>26</v>
      </c>
      <c r="BH4" s="123">
        <v>27</v>
      </c>
      <c r="BI4" s="171">
        <v>28</v>
      </c>
      <c r="BJ4" s="173">
        <v>29</v>
      </c>
      <c r="BK4" s="172">
        <v>30</v>
      </c>
      <c r="BL4" s="123">
        <v>31</v>
      </c>
      <c r="BM4" s="135">
        <v>1</v>
      </c>
      <c r="BN4" s="135">
        <v>2</v>
      </c>
      <c r="BO4" s="135">
        <v>3</v>
      </c>
      <c r="BP4" s="135">
        <v>4</v>
      </c>
      <c r="BQ4" s="135">
        <v>5</v>
      </c>
      <c r="BR4" s="135">
        <v>6</v>
      </c>
      <c r="BS4" s="135">
        <v>7</v>
      </c>
      <c r="BT4" s="135">
        <v>8</v>
      </c>
      <c r="BU4" s="135">
        <v>9</v>
      </c>
      <c r="BV4" s="135">
        <v>10</v>
      </c>
      <c r="BW4" s="135">
        <v>11</v>
      </c>
      <c r="BX4" s="135">
        <v>12</v>
      </c>
      <c r="BY4" s="135">
        <v>13</v>
      </c>
      <c r="BZ4" s="135">
        <v>14</v>
      </c>
      <c r="CA4" s="135">
        <v>15</v>
      </c>
      <c r="CB4" s="135">
        <v>16</v>
      </c>
      <c r="CC4" s="135">
        <v>17</v>
      </c>
      <c r="CD4" s="135">
        <v>18</v>
      </c>
      <c r="CE4" s="135">
        <v>19</v>
      </c>
      <c r="CF4" s="135">
        <v>20</v>
      </c>
      <c r="CG4" s="135">
        <v>21</v>
      </c>
      <c r="CH4" s="135">
        <v>22</v>
      </c>
      <c r="CI4" s="135">
        <v>23</v>
      </c>
      <c r="CJ4" s="135">
        <v>24</v>
      </c>
      <c r="CK4" s="135">
        <v>25</v>
      </c>
      <c r="CL4" s="135">
        <v>26</v>
      </c>
      <c r="CM4" s="158">
        <v>27</v>
      </c>
      <c r="CN4" s="168">
        <v>28</v>
      </c>
    </row>
    <row r="5" spans="1:92" ht="18" customHeight="1" x14ac:dyDescent="0.25">
      <c r="A5" s="191"/>
      <c r="B5" s="191"/>
      <c r="C5" s="53" t="s">
        <v>158</v>
      </c>
      <c r="D5" s="53" t="s">
        <v>159</v>
      </c>
      <c r="E5" s="53" t="s">
        <v>320</v>
      </c>
      <c r="F5" s="136" t="s">
        <v>160</v>
      </c>
      <c r="G5" s="53" t="s">
        <v>156</v>
      </c>
      <c r="H5" s="53" t="s">
        <v>157</v>
      </c>
      <c r="I5" s="53" t="s">
        <v>157</v>
      </c>
      <c r="J5" s="136" t="s">
        <v>158</v>
      </c>
      <c r="K5" s="53" t="s">
        <v>159</v>
      </c>
      <c r="L5" s="53" t="s">
        <v>320</v>
      </c>
      <c r="M5" s="136" t="s">
        <v>160</v>
      </c>
      <c r="N5" s="53" t="s">
        <v>156</v>
      </c>
      <c r="O5" s="53" t="s">
        <v>157</v>
      </c>
      <c r="P5" s="53" t="s">
        <v>157</v>
      </c>
      <c r="Q5" s="53" t="s">
        <v>158</v>
      </c>
      <c r="R5" s="53" t="s">
        <v>159</v>
      </c>
      <c r="S5" s="53" t="s">
        <v>320</v>
      </c>
      <c r="T5" s="136" t="s">
        <v>160</v>
      </c>
      <c r="U5" s="53" t="s">
        <v>156</v>
      </c>
      <c r="V5" s="53" t="s">
        <v>157</v>
      </c>
      <c r="W5" s="53" t="s">
        <v>157</v>
      </c>
      <c r="X5" s="53" t="s">
        <v>158</v>
      </c>
      <c r="Y5" s="53" t="s">
        <v>159</v>
      </c>
      <c r="Z5" s="53" t="s">
        <v>320</v>
      </c>
      <c r="AA5" s="136" t="s">
        <v>160</v>
      </c>
      <c r="AB5" s="53" t="s">
        <v>156</v>
      </c>
      <c r="AC5" s="53" t="s">
        <v>157</v>
      </c>
      <c r="AD5" s="53" t="s">
        <v>157</v>
      </c>
      <c r="AE5" s="53" t="s">
        <v>158</v>
      </c>
      <c r="AF5" s="53" t="s">
        <v>159</v>
      </c>
      <c r="AG5" s="53" t="s">
        <v>320</v>
      </c>
      <c r="AH5" s="136" t="s">
        <v>160</v>
      </c>
      <c r="AI5" s="53" t="s">
        <v>156</v>
      </c>
      <c r="AJ5" s="53" t="s">
        <v>157</v>
      </c>
      <c r="AK5" s="53" t="s">
        <v>157</v>
      </c>
      <c r="AL5" s="53" t="s">
        <v>158</v>
      </c>
      <c r="AM5" s="136" t="s">
        <v>159</v>
      </c>
      <c r="AN5" s="53" t="s">
        <v>320</v>
      </c>
      <c r="AO5" s="136" t="s">
        <v>160</v>
      </c>
      <c r="AP5" s="123" t="s">
        <v>156</v>
      </c>
      <c r="AQ5" s="53" t="s">
        <v>157</v>
      </c>
      <c r="AR5" s="53" t="s">
        <v>157</v>
      </c>
      <c r="AS5" s="53" t="s">
        <v>158</v>
      </c>
      <c r="AT5" s="53" t="s">
        <v>159</v>
      </c>
      <c r="AU5" s="53" t="s">
        <v>320</v>
      </c>
      <c r="AV5" s="136" t="s">
        <v>160</v>
      </c>
      <c r="AW5" s="53" t="s">
        <v>156</v>
      </c>
      <c r="AX5" s="53" t="s">
        <v>157</v>
      </c>
      <c r="AY5" s="53" t="s">
        <v>157</v>
      </c>
      <c r="AZ5" s="53" t="s">
        <v>158</v>
      </c>
      <c r="BA5" s="53" t="s">
        <v>159</v>
      </c>
      <c r="BB5" s="53" t="s">
        <v>320</v>
      </c>
      <c r="BC5" s="136" t="s">
        <v>160</v>
      </c>
      <c r="BD5" s="53" t="s">
        <v>156</v>
      </c>
      <c r="BE5" s="53" t="s">
        <v>157</v>
      </c>
      <c r="BF5" s="53" t="s">
        <v>157</v>
      </c>
      <c r="BG5" s="53" t="s">
        <v>158</v>
      </c>
      <c r="BH5" s="53" t="s">
        <v>159</v>
      </c>
      <c r="BI5" s="139" t="s">
        <v>320</v>
      </c>
      <c r="BJ5" s="163" t="s">
        <v>160</v>
      </c>
      <c r="BK5" s="140" t="s">
        <v>156</v>
      </c>
      <c r="BL5" s="53" t="s">
        <v>157</v>
      </c>
      <c r="BM5" s="53" t="s">
        <v>157</v>
      </c>
      <c r="BN5" s="53" t="s">
        <v>158</v>
      </c>
      <c r="BO5" s="53" t="s">
        <v>159</v>
      </c>
      <c r="BP5" s="53" t="s">
        <v>320</v>
      </c>
      <c r="BQ5" s="136" t="s">
        <v>160</v>
      </c>
      <c r="BR5" s="53" t="s">
        <v>156</v>
      </c>
      <c r="BS5" s="53" t="s">
        <v>157</v>
      </c>
      <c r="BT5" s="53" t="s">
        <v>157</v>
      </c>
      <c r="BU5" s="53" t="s">
        <v>158</v>
      </c>
      <c r="BV5" s="53" t="s">
        <v>159</v>
      </c>
      <c r="BW5" s="53" t="s">
        <v>320</v>
      </c>
      <c r="BX5" s="136" t="s">
        <v>160</v>
      </c>
      <c r="BY5" s="53" t="s">
        <v>156</v>
      </c>
      <c r="BZ5" s="53" t="s">
        <v>157</v>
      </c>
      <c r="CA5" s="53" t="s">
        <v>157</v>
      </c>
      <c r="CB5" s="53" t="s">
        <v>158</v>
      </c>
      <c r="CC5" s="53" t="s">
        <v>159</v>
      </c>
      <c r="CD5" s="53" t="s">
        <v>320</v>
      </c>
      <c r="CE5" s="136" t="s">
        <v>160</v>
      </c>
      <c r="CF5" s="53" t="s">
        <v>156</v>
      </c>
      <c r="CG5" s="53" t="s">
        <v>157</v>
      </c>
      <c r="CH5" s="53" t="s">
        <v>157</v>
      </c>
      <c r="CI5" s="53" t="s">
        <v>158</v>
      </c>
      <c r="CJ5" s="53" t="s">
        <v>159</v>
      </c>
      <c r="CK5" s="53" t="s">
        <v>320</v>
      </c>
      <c r="CL5" s="136" t="s">
        <v>160</v>
      </c>
      <c r="CM5" s="139" t="s">
        <v>156</v>
      </c>
      <c r="CN5" s="164" t="s">
        <v>157</v>
      </c>
    </row>
    <row r="6" spans="1:92" ht="18" customHeight="1" x14ac:dyDescent="0.25">
      <c r="A6" s="124">
        <v>1</v>
      </c>
      <c r="B6" s="96" t="s">
        <v>270</v>
      </c>
      <c r="C6" s="125"/>
      <c r="D6" s="125"/>
      <c r="E6" s="125"/>
      <c r="F6" s="133"/>
      <c r="G6" s="126"/>
      <c r="H6" s="126"/>
      <c r="I6" s="126"/>
      <c r="J6" s="133"/>
      <c r="K6" s="126"/>
      <c r="L6" s="126"/>
      <c r="M6" s="133"/>
      <c r="N6" s="126"/>
      <c r="O6" s="126"/>
      <c r="P6" s="126"/>
      <c r="Q6" s="118"/>
      <c r="R6" s="118"/>
      <c r="S6" s="118"/>
      <c r="T6" s="115"/>
      <c r="U6" s="118"/>
      <c r="V6" s="118"/>
      <c r="W6" s="118"/>
      <c r="X6" s="118"/>
      <c r="Y6" s="118"/>
      <c r="Z6" s="118"/>
      <c r="AA6" s="115"/>
      <c r="AB6" s="118"/>
      <c r="AC6" s="118"/>
      <c r="AD6" s="118"/>
      <c r="AE6" s="118"/>
      <c r="AF6" s="118"/>
      <c r="AG6" s="118"/>
      <c r="AH6" s="115"/>
      <c r="AI6" s="118"/>
      <c r="AJ6" s="118"/>
      <c r="AK6" s="118"/>
      <c r="AL6" s="118"/>
      <c r="AM6" s="115"/>
      <c r="AN6" s="118"/>
      <c r="AO6" s="115"/>
      <c r="AP6" s="118"/>
      <c r="AQ6" s="118"/>
      <c r="AR6" s="118"/>
      <c r="AS6" s="118"/>
      <c r="AT6" s="118"/>
      <c r="AU6" s="118"/>
      <c r="AV6" s="115"/>
      <c r="AW6" s="118"/>
      <c r="AX6" s="118"/>
      <c r="AY6" s="118"/>
      <c r="AZ6" s="118"/>
      <c r="BA6" s="118"/>
      <c r="BB6" s="118"/>
      <c r="BC6" s="115"/>
      <c r="BD6" s="118"/>
      <c r="BE6" s="118"/>
      <c r="BF6" s="118"/>
      <c r="BG6" s="118"/>
      <c r="BH6" s="118"/>
      <c r="BI6" s="147"/>
      <c r="BJ6" s="165"/>
      <c r="BK6" s="153"/>
      <c r="BL6" s="118"/>
      <c r="BM6" s="118"/>
      <c r="BN6" s="118"/>
      <c r="BO6" s="118"/>
      <c r="BP6" s="118"/>
      <c r="BQ6" s="115"/>
      <c r="BR6" s="118"/>
      <c r="BS6" s="118"/>
      <c r="BT6" s="118"/>
      <c r="BU6" s="118"/>
      <c r="BV6" s="118"/>
      <c r="BW6" s="118"/>
      <c r="BX6" s="115"/>
      <c r="BY6" s="118"/>
      <c r="BZ6" s="118"/>
      <c r="CA6" s="118"/>
      <c r="CB6" s="118"/>
      <c r="CC6" s="118"/>
      <c r="CD6" s="118"/>
      <c r="CE6" s="115"/>
      <c r="CF6" s="118"/>
      <c r="CG6" s="118"/>
      <c r="CH6" s="118"/>
      <c r="CI6" s="118"/>
      <c r="CJ6" s="118"/>
      <c r="CK6" s="118"/>
      <c r="CL6" s="115"/>
      <c r="CM6" s="147"/>
      <c r="CN6" s="165"/>
    </row>
    <row r="7" spans="1:92" ht="18" customHeight="1" x14ac:dyDescent="0.25">
      <c r="A7" s="124">
        <v>2</v>
      </c>
      <c r="B7" s="96" t="s">
        <v>26</v>
      </c>
      <c r="C7" s="125"/>
      <c r="D7" s="125"/>
      <c r="E7" s="125"/>
      <c r="F7" s="133"/>
      <c r="G7" s="126"/>
      <c r="H7" s="126"/>
      <c r="I7" s="126"/>
      <c r="J7" s="133"/>
      <c r="K7" s="126"/>
      <c r="L7" s="126"/>
      <c r="M7" s="133"/>
      <c r="N7" s="126"/>
      <c r="O7" s="126"/>
      <c r="P7" s="126"/>
      <c r="Q7" s="118"/>
      <c r="R7" s="118"/>
      <c r="S7" s="118"/>
      <c r="T7" s="115"/>
      <c r="U7" s="118"/>
      <c r="V7" s="118"/>
      <c r="W7" s="118"/>
      <c r="X7" s="118"/>
      <c r="Y7" s="118"/>
      <c r="Z7" s="118"/>
      <c r="AA7" s="115"/>
      <c r="AB7" s="118"/>
      <c r="AC7" s="118"/>
      <c r="AD7" s="118"/>
      <c r="AE7" s="118"/>
      <c r="AF7" s="118"/>
      <c r="AG7" s="118"/>
      <c r="AH7" s="115"/>
      <c r="AI7" s="118"/>
      <c r="AJ7" s="118"/>
      <c r="AK7" s="118"/>
      <c r="AL7" s="118"/>
      <c r="AM7" s="115"/>
      <c r="AN7" s="118"/>
      <c r="AO7" s="115"/>
      <c r="AP7" s="118"/>
      <c r="AQ7" s="118"/>
      <c r="AR7" s="118"/>
      <c r="AS7" s="118"/>
      <c r="AT7" s="118"/>
      <c r="AU7" s="118"/>
      <c r="AV7" s="115"/>
      <c r="AW7" s="118"/>
      <c r="AX7" s="118"/>
      <c r="AY7" s="118"/>
      <c r="AZ7" s="118"/>
      <c r="BA7" s="118"/>
      <c r="BB7" s="118"/>
      <c r="BC7" s="115"/>
      <c r="BD7" s="118"/>
      <c r="BE7" s="118"/>
      <c r="BF7" s="118"/>
      <c r="BG7" s="118"/>
      <c r="BH7" s="118"/>
      <c r="BI7" s="147"/>
      <c r="BJ7" s="165"/>
      <c r="BK7" s="153"/>
      <c r="BL7" s="118"/>
      <c r="BM7" s="118"/>
      <c r="BN7" s="118"/>
      <c r="BO7" s="118"/>
      <c r="BP7" s="118"/>
      <c r="BQ7" s="115"/>
      <c r="BR7" s="118"/>
      <c r="BS7" s="118"/>
      <c r="BT7" s="118"/>
      <c r="BU7" s="118"/>
      <c r="BV7" s="118"/>
      <c r="BW7" s="118"/>
      <c r="BX7" s="115"/>
      <c r="BY7" s="118"/>
      <c r="BZ7" s="118"/>
      <c r="CA7" s="118"/>
      <c r="CB7" s="118"/>
      <c r="CC7" s="118"/>
      <c r="CD7" s="118"/>
      <c r="CE7" s="115"/>
      <c r="CF7" s="118"/>
      <c r="CG7" s="118"/>
      <c r="CH7" s="118"/>
      <c r="CI7" s="118"/>
      <c r="CJ7" s="118"/>
      <c r="CK7" s="118"/>
      <c r="CL7" s="115"/>
      <c r="CM7" s="147"/>
      <c r="CN7" s="165"/>
    </row>
    <row r="8" spans="1:92" ht="18" customHeight="1" x14ac:dyDescent="0.25">
      <c r="A8" s="124">
        <v>3</v>
      </c>
      <c r="B8" s="96" t="s">
        <v>23</v>
      </c>
      <c r="C8" s="127"/>
      <c r="D8" s="127"/>
      <c r="E8" s="127"/>
      <c r="F8" s="134"/>
      <c r="G8" s="128"/>
      <c r="H8" s="128"/>
      <c r="I8" s="128"/>
      <c r="J8" s="134"/>
      <c r="K8" s="128"/>
      <c r="L8" s="128"/>
      <c r="M8" s="134"/>
      <c r="N8" s="128"/>
      <c r="O8" s="128"/>
      <c r="P8" s="128"/>
      <c r="Q8" s="118"/>
      <c r="R8" s="118"/>
      <c r="S8" s="118"/>
      <c r="T8" s="115"/>
      <c r="U8" s="118"/>
      <c r="V8" s="118"/>
      <c r="W8" s="118"/>
      <c r="X8" s="118"/>
      <c r="Y8" s="118"/>
      <c r="Z8" s="118"/>
      <c r="AA8" s="115"/>
      <c r="AB8" s="118"/>
      <c r="AC8" s="118"/>
      <c r="AD8" s="118"/>
      <c r="AE8" s="118"/>
      <c r="AF8" s="118"/>
      <c r="AG8" s="118"/>
      <c r="AH8" s="115"/>
      <c r="AI8" s="118"/>
      <c r="AJ8" s="118"/>
      <c r="AK8" s="118"/>
      <c r="AL8" s="118"/>
      <c r="AM8" s="115"/>
      <c r="AN8" s="118"/>
      <c r="AO8" s="115"/>
      <c r="AP8" s="118"/>
      <c r="AQ8" s="118"/>
      <c r="AR8" s="118"/>
      <c r="AS8" s="118"/>
      <c r="AT8" s="118"/>
      <c r="AU8" s="118"/>
      <c r="AV8" s="115"/>
      <c r="AW8" s="118"/>
      <c r="AX8" s="118"/>
      <c r="AY8" s="118"/>
      <c r="AZ8" s="118"/>
      <c r="BA8" s="118"/>
      <c r="BB8" s="118"/>
      <c r="BC8" s="115"/>
      <c r="BD8" s="118"/>
      <c r="BE8" s="118"/>
      <c r="BF8" s="118"/>
      <c r="BG8" s="118"/>
      <c r="BH8" s="118"/>
      <c r="BI8" s="147"/>
      <c r="BJ8" s="165"/>
      <c r="BK8" s="153"/>
      <c r="BL8" s="118"/>
      <c r="BM8" s="118"/>
      <c r="BN8" s="118"/>
      <c r="BO8" s="118"/>
      <c r="BP8" s="118"/>
      <c r="BQ8" s="115"/>
      <c r="BR8" s="118"/>
      <c r="BS8" s="118"/>
      <c r="BT8" s="118"/>
      <c r="BU8" s="118"/>
      <c r="BV8" s="118"/>
      <c r="BW8" s="118"/>
      <c r="BX8" s="115"/>
      <c r="BY8" s="118"/>
      <c r="BZ8" s="118"/>
      <c r="CA8" s="118"/>
      <c r="CB8" s="118"/>
      <c r="CC8" s="118"/>
      <c r="CD8" s="118"/>
      <c r="CE8" s="115"/>
      <c r="CF8" s="118"/>
      <c r="CG8" s="118"/>
      <c r="CH8" s="118"/>
      <c r="CI8" s="118"/>
      <c r="CJ8" s="118"/>
      <c r="CK8" s="118"/>
      <c r="CL8" s="115"/>
      <c r="CM8" s="147"/>
      <c r="CN8" s="165"/>
    </row>
    <row r="9" spans="1:92" ht="18" customHeight="1" x14ac:dyDescent="0.25">
      <c r="A9" s="124">
        <v>4</v>
      </c>
      <c r="B9" s="96" t="s">
        <v>274</v>
      </c>
      <c r="C9" s="127"/>
      <c r="D9" s="127"/>
      <c r="E9" s="127"/>
      <c r="F9" s="134"/>
      <c r="G9" s="128"/>
      <c r="H9" s="128"/>
      <c r="I9" s="128"/>
      <c r="J9" s="134"/>
      <c r="K9" s="128"/>
      <c r="L9" s="128"/>
      <c r="M9" s="134"/>
      <c r="N9" s="128"/>
      <c r="O9" s="128"/>
      <c r="P9" s="128"/>
      <c r="Q9" s="118"/>
      <c r="R9" s="118"/>
      <c r="S9" s="118"/>
      <c r="T9" s="115"/>
      <c r="U9" s="118"/>
      <c r="V9" s="118"/>
      <c r="W9" s="118"/>
      <c r="X9" s="118"/>
      <c r="Y9" s="118"/>
      <c r="Z9" s="118"/>
      <c r="AA9" s="115"/>
      <c r="AB9" s="118"/>
      <c r="AC9" s="118"/>
      <c r="AD9" s="118"/>
      <c r="AE9" s="118"/>
      <c r="AF9" s="118"/>
      <c r="AG9" s="118"/>
      <c r="AH9" s="115"/>
      <c r="AI9" s="118"/>
      <c r="AJ9" s="118"/>
      <c r="AK9" s="118"/>
      <c r="AL9" s="118"/>
      <c r="AM9" s="115"/>
      <c r="AN9" s="118"/>
      <c r="AO9" s="115"/>
      <c r="AP9" s="118"/>
      <c r="AQ9" s="118"/>
      <c r="AR9" s="118"/>
      <c r="AS9" s="118"/>
      <c r="AT9" s="118"/>
      <c r="AU9" s="118"/>
      <c r="AV9" s="115"/>
      <c r="AW9" s="118"/>
      <c r="AX9" s="118"/>
      <c r="AY9" s="118"/>
      <c r="AZ9" s="118"/>
      <c r="BA9" s="118"/>
      <c r="BB9" s="118"/>
      <c r="BC9" s="115"/>
      <c r="BD9" s="118"/>
      <c r="BE9" s="118"/>
      <c r="BF9" s="118"/>
      <c r="BG9" s="118"/>
      <c r="BH9" s="118"/>
      <c r="BI9" s="147"/>
      <c r="BJ9" s="165"/>
      <c r="BK9" s="153"/>
      <c r="BL9" s="118"/>
      <c r="BM9" s="118"/>
      <c r="BN9" s="118"/>
      <c r="BO9" s="118"/>
      <c r="BP9" s="118"/>
      <c r="BQ9" s="115"/>
      <c r="BR9" s="118"/>
      <c r="BS9" s="118"/>
      <c r="BT9" s="118"/>
      <c r="BU9" s="118"/>
      <c r="BV9" s="118"/>
      <c r="BW9" s="118"/>
      <c r="BX9" s="115"/>
      <c r="BY9" s="118"/>
      <c r="BZ9" s="118"/>
      <c r="CA9" s="118"/>
      <c r="CB9" s="118"/>
      <c r="CC9" s="118"/>
      <c r="CD9" s="118"/>
      <c r="CE9" s="115"/>
      <c r="CF9" s="118"/>
      <c r="CG9" s="118"/>
      <c r="CH9" s="118"/>
      <c r="CI9" s="118"/>
      <c r="CJ9" s="118"/>
      <c r="CK9" s="118"/>
      <c r="CL9" s="115"/>
      <c r="CM9" s="147"/>
      <c r="CN9" s="165"/>
    </row>
    <row r="10" spans="1:92" ht="18" customHeight="1" x14ac:dyDescent="0.25">
      <c r="A10" s="124">
        <v>5</v>
      </c>
      <c r="B10" s="96" t="s">
        <v>25</v>
      </c>
      <c r="C10" s="128"/>
      <c r="D10" s="128"/>
      <c r="E10" s="128"/>
      <c r="F10" s="134"/>
      <c r="G10" s="129"/>
      <c r="H10" s="128"/>
      <c r="I10" s="128"/>
      <c r="J10" s="134"/>
      <c r="K10" s="128"/>
      <c r="L10" s="128"/>
      <c r="M10" s="134"/>
      <c r="N10" s="128"/>
      <c r="O10" s="128"/>
      <c r="P10" s="128"/>
      <c r="Q10" s="118"/>
      <c r="R10" s="118"/>
      <c r="S10" s="118"/>
      <c r="T10" s="115"/>
      <c r="U10" s="118"/>
      <c r="V10" s="118"/>
      <c r="W10" s="118"/>
      <c r="X10" s="118"/>
      <c r="Y10" s="118"/>
      <c r="Z10" s="118"/>
      <c r="AA10" s="115"/>
      <c r="AB10" s="118"/>
      <c r="AC10" s="118"/>
      <c r="AD10" s="118"/>
      <c r="AE10" s="118"/>
      <c r="AF10" s="118"/>
      <c r="AG10" s="118"/>
      <c r="AH10" s="115"/>
      <c r="AI10" s="118"/>
      <c r="AJ10" s="118"/>
      <c r="AK10" s="118"/>
      <c r="AL10" s="118"/>
      <c r="AM10" s="115"/>
      <c r="AN10" s="118"/>
      <c r="AO10" s="115"/>
      <c r="AP10" s="118"/>
      <c r="AQ10" s="118"/>
      <c r="AR10" s="118"/>
      <c r="AS10" s="118"/>
      <c r="AT10" s="118"/>
      <c r="AU10" s="118"/>
      <c r="AV10" s="115"/>
      <c r="AW10" s="118"/>
      <c r="AX10" s="118"/>
      <c r="AY10" s="118"/>
      <c r="AZ10" s="118"/>
      <c r="BA10" s="118"/>
      <c r="BB10" s="118"/>
      <c r="BC10" s="115"/>
      <c r="BD10" s="118"/>
      <c r="BE10" s="118"/>
      <c r="BF10" s="118"/>
      <c r="BG10" s="118"/>
      <c r="BH10" s="118"/>
      <c r="BI10" s="147"/>
      <c r="BJ10" s="165"/>
      <c r="BK10" s="153"/>
      <c r="BL10" s="118"/>
      <c r="BM10" s="118"/>
      <c r="BN10" s="118"/>
      <c r="BO10" s="118"/>
      <c r="BP10" s="118"/>
      <c r="BQ10" s="115"/>
      <c r="BR10" s="118"/>
      <c r="BS10" s="118"/>
      <c r="BT10" s="118"/>
      <c r="BU10" s="118"/>
      <c r="BV10" s="118"/>
      <c r="BW10" s="118"/>
      <c r="BX10" s="115"/>
      <c r="BY10" s="118"/>
      <c r="BZ10" s="118"/>
      <c r="CA10" s="118"/>
      <c r="CB10" s="118"/>
      <c r="CC10" s="118"/>
      <c r="CD10" s="118"/>
      <c r="CE10" s="115"/>
      <c r="CF10" s="118"/>
      <c r="CG10" s="118"/>
      <c r="CH10" s="118"/>
      <c r="CI10" s="118"/>
      <c r="CJ10" s="118"/>
      <c r="CK10" s="118"/>
      <c r="CL10" s="115"/>
      <c r="CM10" s="147"/>
      <c r="CN10" s="165"/>
    </row>
    <row r="11" spans="1:92" ht="18" customHeight="1" x14ac:dyDescent="0.25">
      <c r="A11" s="124">
        <v>6</v>
      </c>
      <c r="B11" s="96" t="s">
        <v>161</v>
      </c>
      <c r="C11" s="128"/>
      <c r="D11" s="128"/>
      <c r="E11" s="128"/>
      <c r="F11" s="134"/>
      <c r="G11" s="142"/>
      <c r="H11" s="127"/>
      <c r="I11" s="127"/>
      <c r="J11" s="134"/>
      <c r="K11" s="127"/>
      <c r="L11" s="127"/>
      <c r="M11" s="134"/>
      <c r="N11" s="128"/>
      <c r="O11" s="128"/>
      <c r="P11" s="128"/>
      <c r="Q11" s="118"/>
      <c r="R11" s="118"/>
      <c r="S11" s="118"/>
      <c r="T11" s="115"/>
      <c r="U11" s="118"/>
      <c r="V11" s="118"/>
      <c r="W11" s="118"/>
      <c r="X11" s="118"/>
      <c r="Y11" s="118"/>
      <c r="Z11" s="118"/>
      <c r="AA11" s="115"/>
      <c r="AB11" s="118"/>
      <c r="AC11" s="118"/>
      <c r="AD11" s="118"/>
      <c r="AE11" s="118"/>
      <c r="AF11" s="118"/>
      <c r="AG11" s="118"/>
      <c r="AH11" s="115"/>
      <c r="AI11" s="118"/>
      <c r="AJ11" s="118"/>
      <c r="AK11" s="118"/>
      <c r="AL11" s="118"/>
      <c r="AM11" s="115"/>
      <c r="AN11" s="118"/>
      <c r="AO11" s="115"/>
      <c r="AP11" s="118"/>
      <c r="AQ11" s="118"/>
      <c r="AR11" s="118"/>
      <c r="AS11" s="118"/>
      <c r="AT11" s="118"/>
      <c r="AU11" s="118"/>
      <c r="AV11" s="115"/>
      <c r="AW11" s="118"/>
      <c r="AX11" s="118"/>
      <c r="AY11" s="118"/>
      <c r="AZ11" s="118"/>
      <c r="BA11" s="118"/>
      <c r="BB11" s="118"/>
      <c r="BC11" s="115"/>
      <c r="BD11" s="118"/>
      <c r="BE11" s="118"/>
      <c r="BF11" s="118"/>
      <c r="BG11" s="118"/>
      <c r="BH11" s="118"/>
      <c r="BI11" s="147"/>
      <c r="BJ11" s="165"/>
      <c r="BK11" s="153"/>
      <c r="BL11" s="118"/>
      <c r="BM11" s="118"/>
      <c r="BN11" s="118"/>
      <c r="BO11" s="118"/>
      <c r="BP11" s="118"/>
      <c r="BQ11" s="115"/>
      <c r="BR11" s="118"/>
      <c r="BS11" s="118"/>
      <c r="BT11" s="118"/>
      <c r="BU11" s="118"/>
      <c r="BV11" s="118"/>
      <c r="BW11" s="118"/>
      <c r="BX11" s="115"/>
      <c r="BY11" s="118"/>
      <c r="BZ11" s="118"/>
      <c r="CA11" s="118"/>
      <c r="CB11" s="118"/>
      <c r="CC11" s="118"/>
      <c r="CD11" s="118"/>
      <c r="CE11" s="115"/>
      <c r="CF11" s="118"/>
      <c r="CG11" s="118"/>
      <c r="CH11" s="118"/>
      <c r="CI11" s="118"/>
      <c r="CJ11" s="118"/>
      <c r="CK11" s="118"/>
      <c r="CL11" s="115"/>
      <c r="CM11" s="147"/>
      <c r="CN11" s="165"/>
    </row>
    <row r="12" spans="1:92" ht="18" customHeight="1" x14ac:dyDescent="0.25">
      <c r="A12" s="145">
        <v>7</v>
      </c>
      <c r="B12" s="146" t="s">
        <v>275</v>
      </c>
      <c r="C12" s="118"/>
      <c r="D12" s="118"/>
      <c r="E12" s="118"/>
      <c r="F12" s="115"/>
      <c r="G12" s="118"/>
      <c r="H12" s="118"/>
      <c r="I12" s="118"/>
      <c r="J12" s="115"/>
      <c r="K12" s="116"/>
      <c r="L12" s="116"/>
      <c r="M12" s="115"/>
      <c r="N12" s="116"/>
      <c r="O12" s="116"/>
      <c r="P12" s="116"/>
      <c r="Q12" s="116"/>
      <c r="R12" s="118"/>
      <c r="S12" s="126"/>
      <c r="T12" s="133"/>
      <c r="U12" s="126"/>
      <c r="V12" s="118"/>
      <c r="W12" s="118"/>
      <c r="X12" s="118"/>
      <c r="Y12" s="118"/>
      <c r="Z12" s="118"/>
      <c r="AA12" s="115"/>
      <c r="AB12" s="118"/>
      <c r="AC12" s="118"/>
      <c r="AD12" s="118"/>
      <c r="AE12" s="118"/>
      <c r="AF12" s="118"/>
      <c r="AG12" s="118"/>
      <c r="AH12" s="115"/>
      <c r="AI12" s="118"/>
      <c r="AJ12" s="118"/>
      <c r="AK12" s="118"/>
      <c r="AL12" s="118"/>
      <c r="AM12" s="115"/>
      <c r="AN12" s="118"/>
      <c r="AO12" s="115"/>
      <c r="AP12" s="118"/>
      <c r="AQ12" s="118"/>
      <c r="AR12" s="118"/>
      <c r="AS12" s="118"/>
      <c r="AT12" s="118"/>
      <c r="AU12" s="118"/>
      <c r="AV12" s="115"/>
      <c r="AW12" s="118"/>
      <c r="AX12" s="118"/>
      <c r="AY12" s="118"/>
      <c r="AZ12" s="118"/>
      <c r="BA12" s="118"/>
      <c r="BB12" s="118"/>
      <c r="BC12" s="115"/>
      <c r="BD12" s="118"/>
      <c r="BE12" s="118"/>
      <c r="BF12" s="118"/>
      <c r="BG12" s="118"/>
      <c r="BH12" s="118"/>
      <c r="BI12" s="147"/>
      <c r="BJ12" s="165"/>
      <c r="BK12" s="153"/>
      <c r="BL12" s="118"/>
      <c r="BM12" s="118"/>
      <c r="BN12" s="118"/>
      <c r="BO12" s="118"/>
      <c r="BP12" s="118"/>
      <c r="BQ12" s="115"/>
      <c r="BR12" s="118"/>
      <c r="BS12" s="118"/>
      <c r="BT12" s="118"/>
      <c r="BU12" s="118"/>
      <c r="BV12" s="118"/>
      <c r="BW12" s="118"/>
      <c r="BX12" s="115"/>
      <c r="BY12" s="118"/>
      <c r="BZ12" s="118"/>
      <c r="CA12" s="118"/>
      <c r="CB12" s="118"/>
      <c r="CC12" s="118"/>
      <c r="CD12" s="118"/>
      <c r="CE12" s="115"/>
      <c r="CF12" s="118"/>
      <c r="CG12" s="118"/>
      <c r="CH12" s="118"/>
      <c r="CI12" s="118"/>
      <c r="CJ12" s="118"/>
      <c r="CK12" s="118"/>
      <c r="CL12" s="115"/>
      <c r="CM12" s="147"/>
      <c r="CN12" s="165"/>
    </row>
    <row r="13" spans="1:92" ht="18" customHeight="1" x14ac:dyDescent="0.25">
      <c r="A13" s="145">
        <v>8</v>
      </c>
      <c r="B13" s="145" t="s">
        <v>276</v>
      </c>
      <c r="C13" s="118"/>
      <c r="D13" s="118"/>
      <c r="E13" s="118"/>
      <c r="F13" s="115"/>
      <c r="G13" s="118"/>
      <c r="H13" s="118"/>
      <c r="I13" s="118"/>
      <c r="J13" s="115"/>
      <c r="K13" s="118"/>
      <c r="L13" s="118"/>
      <c r="M13" s="115"/>
      <c r="N13" s="118"/>
      <c r="O13" s="118"/>
      <c r="P13" s="116"/>
      <c r="Q13" s="116"/>
      <c r="R13" s="116"/>
      <c r="S13" s="116"/>
      <c r="T13" s="115"/>
      <c r="U13" s="118"/>
      <c r="V13" s="118"/>
      <c r="W13" s="118"/>
      <c r="X13" s="118"/>
      <c r="Y13" s="118"/>
      <c r="Z13" s="118"/>
      <c r="AA13" s="115"/>
      <c r="AB13" s="118"/>
      <c r="AC13" s="118"/>
      <c r="AD13" s="118"/>
      <c r="AE13" s="128"/>
      <c r="AF13" s="128"/>
      <c r="AG13" s="128"/>
      <c r="AH13" s="134"/>
      <c r="AI13" s="128"/>
      <c r="AJ13" s="128"/>
      <c r="AK13" s="128"/>
      <c r="AL13" s="128"/>
      <c r="AM13" s="134"/>
      <c r="AN13" s="128"/>
      <c r="AO13" s="134"/>
      <c r="AP13" s="128"/>
      <c r="AQ13" s="118"/>
      <c r="AR13" s="118"/>
      <c r="AS13" s="118"/>
      <c r="AT13" s="118"/>
      <c r="AU13" s="118"/>
      <c r="AV13" s="134"/>
      <c r="AW13" s="118"/>
      <c r="AX13" s="118"/>
      <c r="AY13" s="118"/>
      <c r="AZ13" s="118"/>
      <c r="BA13" s="118"/>
      <c r="BB13" s="118"/>
      <c r="BC13" s="134"/>
      <c r="BD13" s="118"/>
      <c r="BE13" s="118"/>
      <c r="BF13" s="118"/>
      <c r="BG13" s="118"/>
      <c r="BH13" s="118"/>
      <c r="BI13" s="147"/>
      <c r="BJ13" s="167"/>
      <c r="BK13" s="153"/>
      <c r="BL13" s="118"/>
      <c r="BM13" s="118"/>
      <c r="BN13" s="118"/>
      <c r="BO13" s="118"/>
      <c r="BP13" s="118"/>
      <c r="BQ13" s="134"/>
      <c r="BR13" s="118"/>
      <c r="BS13" s="118"/>
      <c r="BT13" s="118"/>
      <c r="BU13" s="118"/>
      <c r="BV13" s="118"/>
      <c r="BW13" s="118"/>
      <c r="BX13" s="134"/>
      <c r="BY13" s="118"/>
      <c r="BZ13" s="118"/>
      <c r="CA13" s="118"/>
      <c r="CB13" s="118"/>
      <c r="CC13" s="118"/>
      <c r="CD13" s="118"/>
      <c r="CE13" s="134"/>
      <c r="CF13" s="118"/>
      <c r="CG13" s="118"/>
      <c r="CH13" s="118"/>
      <c r="CI13" s="118"/>
      <c r="CJ13" s="118"/>
      <c r="CK13" s="118"/>
      <c r="CL13" s="134"/>
      <c r="CM13" s="147"/>
      <c r="CN13" s="165"/>
    </row>
    <row r="14" spans="1:92" ht="18" customHeight="1" x14ac:dyDescent="0.25">
      <c r="A14" s="124">
        <v>9</v>
      </c>
      <c r="B14" s="124" t="s">
        <v>277</v>
      </c>
      <c r="C14" s="118"/>
      <c r="D14" s="118"/>
      <c r="E14" s="118"/>
      <c r="F14" s="115"/>
      <c r="G14" s="118"/>
      <c r="H14" s="118"/>
      <c r="I14" s="118"/>
      <c r="J14" s="115"/>
      <c r="K14" s="118"/>
      <c r="L14" s="118"/>
      <c r="M14" s="115"/>
      <c r="N14" s="118"/>
      <c r="O14" s="118"/>
      <c r="P14" s="131"/>
      <c r="Q14" s="131"/>
      <c r="R14" s="116"/>
      <c r="S14" s="116"/>
      <c r="T14" s="115"/>
      <c r="U14" s="116"/>
      <c r="V14" s="116"/>
      <c r="W14" s="118"/>
      <c r="X14" s="118"/>
      <c r="Y14" s="118"/>
      <c r="Z14" s="118"/>
      <c r="AA14" s="115"/>
      <c r="AB14" s="118"/>
      <c r="AC14" s="118"/>
      <c r="AD14" s="118"/>
      <c r="AE14" s="118"/>
      <c r="AF14" s="118"/>
      <c r="AG14" s="118"/>
      <c r="AH14" s="115"/>
      <c r="AI14" s="118"/>
      <c r="AJ14" s="118"/>
      <c r="AK14" s="118"/>
      <c r="AL14" s="118"/>
      <c r="AM14" s="115"/>
      <c r="AN14" s="118"/>
      <c r="AO14" s="115"/>
      <c r="AP14" s="118"/>
      <c r="AQ14" s="118"/>
      <c r="AR14" s="118"/>
      <c r="AS14" s="126"/>
      <c r="AT14" s="126"/>
      <c r="AU14" s="126"/>
      <c r="AV14" s="115"/>
      <c r="AW14" s="126"/>
      <c r="AX14" s="126"/>
      <c r="AY14" s="126"/>
      <c r="AZ14" s="126"/>
      <c r="BA14" s="126"/>
      <c r="BB14" s="126"/>
      <c r="BC14" s="115"/>
      <c r="BD14" s="126"/>
      <c r="BE14" s="126"/>
      <c r="BF14" s="126"/>
      <c r="BG14" s="126"/>
      <c r="BH14" s="126"/>
      <c r="BI14" s="148"/>
      <c r="BJ14" s="165"/>
      <c r="BK14" s="153"/>
      <c r="BL14" s="118"/>
      <c r="BM14" s="118"/>
      <c r="BN14" s="118"/>
      <c r="BO14" s="118"/>
      <c r="BP14" s="118"/>
      <c r="BQ14" s="115"/>
      <c r="BR14" s="118"/>
      <c r="BS14" s="118"/>
      <c r="BT14" s="118"/>
      <c r="BU14" s="118"/>
      <c r="BV14" s="118"/>
      <c r="BW14" s="118"/>
      <c r="BX14" s="115"/>
      <c r="BY14" s="118"/>
      <c r="BZ14" s="118"/>
      <c r="CA14" s="118"/>
      <c r="CB14" s="118"/>
      <c r="CC14" s="118"/>
      <c r="CD14" s="118"/>
      <c r="CE14" s="115"/>
      <c r="CF14" s="118"/>
      <c r="CG14" s="118"/>
      <c r="CH14" s="118"/>
      <c r="CI14" s="118"/>
      <c r="CJ14" s="118"/>
      <c r="CK14" s="118"/>
      <c r="CL14" s="115"/>
      <c r="CM14" s="147"/>
      <c r="CN14" s="165"/>
    </row>
    <row r="15" spans="1:92" ht="18" customHeight="1" x14ac:dyDescent="0.25">
      <c r="A15" s="124">
        <v>10</v>
      </c>
      <c r="B15" s="96" t="s">
        <v>273</v>
      </c>
      <c r="C15" s="118"/>
      <c r="D15" s="118"/>
      <c r="E15" s="118"/>
      <c r="F15" s="115"/>
      <c r="G15" s="118"/>
      <c r="H15" s="118"/>
      <c r="I15" s="118"/>
      <c r="J15" s="115"/>
      <c r="K15" s="118"/>
      <c r="L15" s="118"/>
      <c r="M15" s="115"/>
      <c r="N15" s="118"/>
      <c r="O15" s="118"/>
      <c r="P15" s="118"/>
      <c r="Q15" s="131"/>
      <c r="R15" s="143"/>
      <c r="S15" s="116"/>
      <c r="T15" s="115"/>
      <c r="U15" s="116"/>
      <c r="V15" s="116"/>
      <c r="W15" s="118"/>
      <c r="X15" s="118"/>
      <c r="Y15" s="118"/>
      <c r="Z15" s="118"/>
      <c r="AA15" s="115"/>
      <c r="AB15" s="118"/>
      <c r="AC15" s="118"/>
      <c r="AD15" s="118"/>
      <c r="AE15" s="118"/>
      <c r="AF15" s="118"/>
      <c r="AG15" s="118"/>
      <c r="AH15" s="115"/>
      <c r="AI15" s="118"/>
      <c r="AJ15" s="118"/>
      <c r="AK15" s="118"/>
      <c r="AL15" s="118"/>
      <c r="AM15" s="115"/>
      <c r="AN15" s="118"/>
      <c r="AO15" s="115"/>
      <c r="AP15" s="118"/>
      <c r="AQ15" s="118"/>
      <c r="AR15" s="118"/>
      <c r="AS15" s="118"/>
      <c r="AT15" s="118"/>
      <c r="AU15" s="118"/>
      <c r="AV15" s="115"/>
      <c r="AW15" s="118"/>
      <c r="AX15" s="118"/>
      <c r="AY15" s="118"/>
      <c r="AZ15" s="128"/>
      <c r="BA15" s="128"/>
      <c r="BB15" s="128"/>
      <c r="BC15" s="115"/>
      <c r="BD15" s="128"/>
      <c r="BE15" s="128"/>
      <c r="BF15" s="128"/>
      <c r="BG15" s="128"/>
      <c r="BH15" s="128"/>
      <c r="BI15" s="149"/>
      <c r="BJ15" s="165"/>
      <c r="BK15" s="153"/>
      <c r="BL15" s="118"/>
      <c r="BM15" s="118"/>
      <c r="BN15" s="118"/>
      <c r="BO15" s="118"/>
      <c r="BP15" s="118"/>
      <c r="BQ15" s="115"/>
      <c r="BR15" s="118"/>
      <c r="BS15" s="118"/>
      <c r="BT15" s="118"/>
      <c r="BU15" s="118"/>
      <c r="BV15" s="118"/>
      <c r="BW15" s="118"/>
      <c r="BX15" s="115"/>
      <c r="BY15" s="118"/>
      <c r="BZ15" s="118"/>
      <c r="CA15" s="118"/>
      <c r="CB15" s="118"/>
      <c r="CC15" s="118"/>
      <c r="CD15" s="118"/>
      <c r="CE15" s="115"/>
      <c r="CF15" s="118"/>
      <c r="CG15" s="118"/>
      <c r="CH15" s="118"/>
      <c r="CI15" s="118"/>
      <c r="CJ15" s="118"/>
      <c r="CK15" s="118"/>
      <c r="CL15" s="115"/>
      <c r="CM15" s="147"/>
      <c r="CN15" s="165"/>
    </row>
    <row r="16" spans="1:92" ht="18" customHeight="1" x14ac:dyDescent="0.25">
      <c r="A16" s="124">
        <v>11</v>
      </c>
      <c r="B16" s="96" t="s">
        <v>293</v>
      </c>
      <c r="C16" s="118"/>
      <c r="D16" s="118"/>
      <c r="E16" s="118"/>
      <c r="F16" s="115"/>
      <c r="G16" s="118"/>
      <c r="H16" s="118"/>
      <c r="I16" s="118"/>
      <c r="J16" s="115"/>
      <c r="K16" s="118"/>
      <c r="L16" s="118"/>
      <c r="M16" s="115"/>
      <c r="N16" s="118"/>
      <c r="O16" s="118"/>
      <c r="P16" s="118"/>
      <c r="Q16" s="131"/>
      <c r="R16" s="143"/>
      <c r="S16" s="116"/>
      <c r="T16" s="115"/>
      <c r="U16" s="116"/>
      <c r="V16" s="116"/>
      <c r="W16" s="118"/>
      <c r="X16" s="118"/>
      <c r="Y16" s="118"/>
      <c r="Z16" s="118"/>
      <c r="AA16" s="115"/>
      <c r="AB16" s="118"/>
      <c r="AC16" s="118"/>
      <c r="AD16" s="118"/>
      <c r="AE16" s="118"/>
      <c r="AF16" s="118"/>
      <c r="AG16" s="118"/>
      <c r="AH16" s="115"/>
      <c r="AI16" s="118"/>
      <c r="AJ16" s="118"/>
      <c r="AK16" s="118"/>
      <c r="AL16" s="118"/>
      <c r="AM16" s="115"/>
      <c r="AN16" s="118"/>
      <c r="AO16" s="115"/>
      <c r="AP16" s="118"/>
      <c r="AQ16" s="118"/>
      <c r="AR16" s="118"/>
      <c r="AS16" s="118"/>
      <c r="AT16" s="118"/>
      <c r="AU16" s="118"/>
      <c r="AV16" s="115"/>
      <c r="AW16" s="118"/>
      <c r="AX16" s="118"/>
      <c r="AY16" s="118"/>
      <c r="AZ16" s="128"/>
      <c r="BA16" s="128"/>
      <c r="BB16" s="128"/>
      <c r="BC16" s="115"/>
      <c r="BD16" s="128"/>
      <c r="BE16" s="128"/>
      <c r="BF16" s="128"/>
      <c r="BG16" s="128"/>
      <c r="BH16" s="128"/>
      <c r="BI16" s="149"/>
      <c r="BJ16" s="165"/>
      <c r="BK16" s="153"/>
      <c r="BL16" s="118"/>
      <c r="BM16" s="118"/>
      <c r="BN16" s="118"/>
      <c r="BO16" s="118"/>
      <c r="BP16" s="118"/>
      <c r="BQ16" s="115"/>
      <c r="BR16" s="118"/>
      <c r="BS16" s="118"/>
      <c r="BT16" s="118"/>
      <c r="BU16" s="118"/>
      <c r="BV16" s="118"/>
      <c r="BW16" s="118"/>
      <c r="BX16" s="115"/>
      <c r="BY16" s="118"/>
      <c r="BZ16" s="118"/>
      <c r="CA16" s="118"/>
      <c r="CB16" s="118"/>
      <c r="CC16" s="118"/>
      <c r="CD16" s="118"/>
      <c r="CE16" s="115"/>
      <c r="CF16" s="118"/>
      <c r="CG16" s="118"/>
      <c r="CH16" s="118"/>
      <c r="CI16" s="118"/>
      <c r="CJ16" s="118"/>
      <c r="CK16" s="118"/>
      <c r="CL16" s="115"/>
      <c r="CM16" s="147"/>
      <c r="CN16" s="165"/>
    </row>
    <row r="17" spans="1:92" ht="18" customHeight="1" x14ac:dyDescent="0.25">
      <c r="A17" s="124">
        <v>12</v>
      </c>
      <c r="B17" s="96" t="s">
        <v>272</v>
      </c>
      <c r="C17" s="118"/>
      <c r="D17" s="118"/>
      <c r="E17" s="118"/>
      <c r="F17" s="115"/>
      <c r="G17" s="118"/>
      <c r="H17" s="118"/>
      <c r="I17" s="118"/>
      <c r="J17" s="115"/>
      <c r="K17" s="118"/>
      <c r="L17" s="118"/>
      <c r="M17" s="115"/>
      <c r="N17" s="118"/>
      <c r="O17" s="118"/>
      <c r="P17" s="118"/>
      <c r="Q17" s="118"/>
      <c r="R17" s="116"/>
      <c r="S17" s="143"/>
      <c r="T17" s="115"/>
      <c r="U17" s="116"/>
      <c r="V17" s="116"/>
      <c r="W17" s="116"/>
      <c r="X17" s="118"/>
      <c r="Y17" s="118"/>
      <c r="Z17" s="118"/>
      <c r="AA17" s="115"/>
      <c r="AB17" s="118"/>
      <c r="AC17" s="118"/>
      <c r="AD17" s="118"/>
      <c r="AE17" s="118"/>
      <c r="AF17" s="118"/>
      <c r="AG17" s="118"/>
      <c r="AH17" s="115"/>
      <c r="AI17" s="118"/>
      <c r="AJ17" s="118"/>
      <c r="AK17" s="118"/>
      <c r="AL17" s="118"/>
      <c r="AM17" s="115"/>
      <c r="AN17" s="118"/>
      <c r="AO17" s="115"/>
      <c r="AP17" s="118"/>
      <c r="AQ17" s="118"/>
      <c r="AR17" s="118"/>
      <c r="AS17" s="118"/>
      <c r="AT17" s="118"/>
      <c r="AU17" s="118"/>
      <c r="AV17" s="115"/>
      <c r="AW17" s="118"/>
      <c r="AX17" s="118"/>
      <c r="AY17" s="118"/>
      <c r="AZ17" s="118"/>
      <c r="BA17" s="118"/>
      <c r="BB17" s="118"/>
      <c r="BC17" s="115"/>
      <c r="BD17" s="118"/>
      <c r="BE17" s="118"/>
      <c r="BF17" s="118"/>
      <c r="BG17" s="118"/>
      <c r="BH17" s="118"/>
      <c r="BI17" s="148"/>
      <c r="BJ17" s="165"/>
      <c r="BK17" s="153"/>
      <c r="BL17" s="118"/>
      <c r="BM17" s="118"/>
      <c r="BN17" s="118"/>
      <c r="BO17" s="118"/>
      <c r="BP17" s="118"/>
      <c r="BQ17" s="115"/>
      <c r="BR17" s="118"/>
      <c r="BS17" s="118"/>
      <c r="BT17" s="118"/>
      <c r="BU17" s="118"/>
      <c r="BV17" s="118"/>
      <c r="BW17" s="118"/>
      <c r="BX17" s="115"/>
      <c r="BY17" s="118"/>
      <c r="BZ17" s="118"/>
      <c r="CA17" s="118"/>
      <c r="CB17" s="118"/>
      <c r="CC17" s="118"/>
      <c r="CD17" s="118"/>
      <c r="CE17" s="115"/>
      <c r="CF17" s="118"/>
      <c r="CG17" s="118"/>
      <c r="CH17" s="118"/>
      <c r="CI17" s="118"/>
      <c r="CJ17" s="118"/>
      <c r="CK17" s="118"/>
      <c r="CL17" s="115"/>
      <c r="CM17" s="147"/>
      <c r="CN17" s="165"/>
    </row>
    <row r="18" spans="1:92" ht="18" customHeight="1" x14ac:dyDescent="0.25">
      <c r="A18" s="124">
        <v>13</v>
      </c>
      <c r="B18" s="96" t="s">
        <v>271</v>
      </c>
      <c r="C18" s="118"/>
      <c r="D18" s="118"/>
      <c r="E18" s="118"/>
      <c r="F18" s="115"/>
      <c r="G18" s="118"/>
      <c r="H18" s="118"/>
      <c r="I18" s="118"/>
      <c r="J18" s="115"/>
      <c r="K18" s="118"/>
      <c r="L18" s="118"/>
      <c r="M18" s="115"/>
      <c r="N18" s="118"/>
      <c r="O18" s="118"/>
      <c r="P18" s="118"/>
      <c r="Q18" s="118"/>
      <c r="R18" s="116"/>
      <c r="S18" s="143"/>
      <c r="T18" s="115"/>
      <c r="U18" s="116"/>
      <c r="V18" s="116"/>
      <c r="W18" s="116"/>
      <c r="X18" s="118"/>
      <c r="Y18" s="118"/>
      <c r="Z18" s="118"/>
      <c r="AA18" s="115"/>
      <c r="AB18" s="118"/>
      <c r="AC18" s="118"/>
      <c r="AD18" s="118"/>
      <c r="AE18" s="118"/>
      <c r="AF18" s="118"/>
      <c r="AG18" s="118"/>
      <c r="AH18" s="115"/>
      <c r="AI18" s="118"/>
      <c r="AJ18" s="118"/>
      <c r="AK18" s="118"/>
      <c r="AL18" s="118"/>
      <c r="AM18" s="115"/>
      <c r="AN18" s="118"/>
      <c r="AO18" s="115"/>
      <c r="AP18" s="118"/>
      <c r="AQ18" s="118"/>
      <c r="AR18" s="118"/>
      <c r="AS18" s="118"/>
      <c r="AT18" s="118"/>
      <c r="AU18" s="118"/>
      <c r="AV18" s="115"/>
      <c r="AW18" s="118"/>
      <c r="AX18" s="118"/>
      <c r="AY18" s="118"/>
      <c r="AZ18" s="118"/>
      <c r="BA18" s="118"/>
      <c r="BB18" s="118"/>
      <c r="BC18" s="115"/>
      <c r="BD18" s="118"/>
      <c r="BE18" s="118"/>
      <c r="BF18" s="118"/>
      <c r="BG18" s="118"/>
      <c r="BH18" s="118"/>
      <c r="BI18" s="147"/>
      <c r="BJ18" s="165"/>
      <c r="BK18" s="154"/>
      <c r="BL18" s="128"/>
      <c r="BM18" s="128"/>
      <c r="BN18" s="118"/>
      <c r="BO18" s="118"/>
      <c r="BP18" s="118"/>
      <c r="BQ18" s="115"/>
      <c r="BR18" s="118"/>
      <c r="BS18" s="118"/>
      <c r="BT18" s="118"/>
      <c r="BU18" s="118"/>
      <c r="BV18" s="118"/>
      <c r="BW18" s="118"/>
      <c r="BX18" s="115"/>
      <c r="BY18" s="118"/>
      <c r="BZ18" s="118"/>
      <c r="CA18" s="118"/>
      <c r="CB18" s="118"/>
      <c r="CC18" s="118"/>
      <c r="CD18" s="118"/>
      <c r="CE18" s="115"/>
      <c r="CF18" s="118"/>
      <c r="CG18" s="118"/>
      <c r="CH18" s="118"/>
      <c r="CI18" s="118"/>
      <c r="CJ18" s="118"/>
      <c r="CK18" s="118"/>
      <c r="CL18" s="115"/>
      <c r="CM18" s="147"/>
      <c r="CN18" s="165"/>
    </row>
    <row r="19" spans="1:92" ht="18" customHeight="1" x14ac:dyDescent="0.25">
      <c r="A19" s="145">
        <v>14</v>
      </c>
      <c r="B19" s="146" t="s">
        <v>278</v>
      </c>
      <c r="C19" s="118"/>
      <c r="D19" s="118"/>
      <c r="E19" s="118"/>
      <c r="F19" s="115"/>
      <c r="G19" s="118"/>
      <c r="H19" s="118"/>
      <c r="I19" s="118"/>
      <c r="J19" s="115"/>
      <c r="K19" s="118"/>
      <c r="L19" s="118"/>
      <c r="M19" s="115"/>
      <c r="N19" s="118"/>
      <c r="O19" s="118"/>
      <c r="P19" s="118"/>
      <c r="Q19" s="118"/>
      <c r="R19" s="118"/>
      <c r="S19" s="118"/>
      <c r="T19" s="115"/>
      <c r="U19" s="143"/>
      <c r="V19" s="143"/>
      <c r="W19" s="143"/>
      <c r="X19" s="116"/>
      <c r="Y19" s="118"/>
      <c r="Z19" s="118"/>
      <c r="AA19" s="115"/>
      <c r="AB19" s="118"/>
      <c r="AC19" s="118"/>
      <c r="AD19" s="118"/>
      <c r="AE19" s="118"/>
      <c r="AF19" s="118"/>
      <c r="AG19" s="118"/>
      <c r="AH19" s="115"/>
      <c r="AI19" s="118"/>
      <c r="AJ19" s="118"/>
      <c r="AK19" s="118"/>
      <c r="AL19" s="118"/>
      <c r="AM19" s="115"/>
      <c r="AN19" s="118"/>
      <c r="AO19" s="115"/>
      <c r="AP19" s="118"/>
      <c r="AQ19" s="118"/>
      <c r="AR19" s="118"/>
      <c r="AS19" s="118"/>
      <c r="AT19" s="118"/>
      <c r="AU19" s="118"/>
      <c r="AV19" s="115"/>
      <c r="AW19" s="118"/>
      <c r="AX19" s="118"/>
      <c r="AY19" s="118"/>
      <c r="AZ19" s="118"/>
      <c r="BA19" s="118"/>
      <c r="BB19" s="118"/>
      <c r="BC19" s="115"/>
      <c r="BD19" s="118"/>
      <c r="BE19" s="118"/>
      <c r="BF19" s="118"/>
      <c r="BG19" s="118"/>
      <c r="BH19" s="118"/>
      <c r="BI19" s="147"/>
      <c r="BJ19" s="165"/>
      <c r="BK19" s="153"/>
      <c r="BL19" s="118"/>
      <c r="BM19" s="118"/>
      <c r="BN19" s="118"/>
      <c r="BO19" s="118"/>
      <c r="BP19" s="118"/>
      <c r="BQ19" s="115"/>
      <c r="BR19" s="118"/>
      <c r="BS19" s="118"/>
      <c r="BT19" s="118"/>
      <c r="BU19" s="118"/>
      <c r="BV19" s="118"/>
      <c r="BW19" s="118"/>
      <c r="BX19" s="115"/>
      <c r="BY19" s="118"/>
      <c r="BZ19" s="118"/>
      <c r="CA19" s="118"/>
      <c r="CB19" s="118"/>
      <c r="CC19" s="118"/>
      <c r="CD19" s="118"/>
      <c r="CE19" s="115"/>
      <c r="CF19" s="118"/>
      <c r="CG19" s="118"/>
      <c r="CH19" s="118"/>
      <c r="CI19" s="118"/>
      <c r="CJ19" s="118"/>
      <c r="CK19" s="118"/>
      <c r="CL19" s="115"/>
      <c r="CM19" s="147"/>
      <c r="CN19" s="165"/>
    </row>
    <row r="20" spans="1:92" ht="18" customHeight="1" x14ac:dyDescent="0.25">
      <c r="A20" s="145">
        <v>15</v>
      </c>
      <c r="B20" s="146" t="s">
        <v>279</v>
      </c>
      <c r="C20" s="118"/>
      <c r="D20" s="118"/>
      <c r="E20" s="118"/>
      <c r="F20" s="115"/>
      <c r="G20" s="118"/>
      <c r="H20" s="118"/>
      <c r="I20" s="118"/>
      <c r="J20" s="115"/>
      <c r="K20" s="118"/>
      <c r="L20" s="118"/>
      <c r="M20" s="115"/>
      <c r="N20" s="118"/>
      <c r="O20" s="118"/>
      <c r="P20" s="118"/>
      <c r="Q20" s="118"/>
      <c r="R20" s="118"/>
      <c r="S20" s="118"/>
      <c r="T20" s="115"/>
      <c r="U20" s="118"/>
      <c r="V20" s="118"/>
      <c r="W20" s="118"/>
      <c r="X20" s="131"/>
      <c r="Y20" s="143"/>
      <c r="Z20" s="116"/>
      <c r="AA20" s="115"/>
      <c r="AB20" s="116"/>
      <c r="AC20" s="116"/>
      <c r="AD20" s="118"/>
      <c r="AE20" s="118"/>
      <c r="AF20" s="118"/>
      <c r="AG20" s="118"/>
      <c r="AH20" s="115"/>
      <c r="AI20" s="118"/>
      <c r="AJ20" s="118"/>
      <c r="AK20" s="118"/>
      <c r="AL20" s="118"/>
      <c r="AM20" s="115"/>
      <c r="AN20" s="118"/>
      <c r="AO20" s="115"/>
      <c r="AP20" s="118"/>
      <c r="AQ20" s="118"/>
      <c r="AR20" s="118"/>
      <c r="AS20" s="118"/>
      <c r="AT20" s="118"/>
      <c r="AU20" s="118"/>
      <c r="AV20" s="115"/>
      <c r="AW20" s="118"/>
      <c r="AX20" s="118"/>
      <c r="AY20" s="118"/>
      <c r="AZ20" s="118"/>
      <c r="BA20" s="118"/>
      <c r="BB20" s="118"/>
      <c r="BC20" s="115"/>
      <c r="BD20" s="118"/>
      <c r="BE20" s="118"/>
      <c r="BF20" s="118"/>
      <c r="BG20" s="118"/>
      <c r="BH20" s="118"/>
      <c r="BI20" s="147"/>
      <c r="BJ20" s="165"/>
      <c r="BK20" s="153"/>
      <c r="BL20" s="118"/>
      <c r="BM20" s="118"/>
      <c r="BN20" s="118"/>
      <c r="BO20" s="118"/>
      <c r="BP20" s="118"/>
      <c r="BQ20" s="115"/>
      <c r="BR20" s="130"/>
      <c r="BS20" s="130"/>
      <c r="BT20" s="130"/>
      <c r="BU20" s="130"/>
      <c r="BV20" s="130"/>
      <c r="BW20" s="130"/>
      <c r="BX20" s="115"/>
      <c r="BY20" s="130"/>
      <c r="BZ20" s="118"/>
      <c r="CA20" s="118"/>
      <c r="CB20" s="118"/>
      <c r="CC20" s="118"/>
      <c r="CD20" s="118"/>
      <c r="CE20" s="115"/>
      <c r="CF20" s="118"/>
      <c r="CG20" s="118"/>
      <c r="CH20" s="118"/>
      <c r="CI20" s="118"/>
      <c r="CJ20" s="118"/>
      <c r="CK20" s="118"/>
      <c r="CL20" s="115"/>
      <c r="CM20" s="147"/>
      <c r="CN20" s="165"/>
    </row>
    <row r="21" spans="1:92" ht="18" customHeight="1" x14ac:dyDescent="0.25">
      <c r="A21" s="145">
        <v>16</v>
      </c>
      <c r="B21" s="146" t="s">
        <v>280</v>
      </c>
      <c r="C21" s="118"/>
      <c r="D21" s="118"/>
      <c r="E21" s="118"/>
      <c r="F21" s="115"/>
      <c r="G21" s="118"/>
      <c r="H21" s="118"/>
      <c r="I21" s="118"/>
      <c r="J21" s="115"/>
      <c r="K21" s="118"/>
      <c r="L21" s="118"/>
      <c r="M21" s="115"/>
      <c r="N21" s="118"/>
      <c r="O21" s="118"/>
      <c r="P21" s="118"/>
      <c r="Q21" s="118"/>
      <c r="R21" s="118"/>
      <c r="S21" s="118"/>
      <c r="T21" s="115"/>
      <c r="U21" s="118"/>
      <c r="V21" s="118"/>
      <c r="W21" s="118"/>
      <c r="X21" s="118"/>
      <c r="Y21" s="118"/>
      <c r="Z21" s="118"/>
      <c r="AA21" s="115"/>
      <c r="AB21" s="131"/>
      <c r="AC21" s="143"/>
      <c r="AD21" s="116"/>
      <c r="AE21" s="150"/>
      <c r="AF21" s="116"/>
      <c r="AG21" s="118"/>
      <c r="AH21" s="115"/>
      <c r="AI21" s="118"/>
      <c r="AJ21" s="118"/>
      <c r="AK21" s="118"/>
      <c r="AL21" s="118"/>
      <c r="AM21" s="115"/>
      <c r="AN21" s="118"/>
      <c r="AO21" s="115"/>
      <c r="AP21" s="118"/>
      <c r="AQ21" s="118"/>
      <c r="AR21" s="118"/>
      <c r="AS21" s="118"/>
      <c r="AT21" s="118"/>
      <c r="AU21" s="118"/>
      <c r="AV21" s="115"/>
      <c r="AW21" s="118"/>
      <c r="AX21" s="118"/>
      <c r="AY21" s="118"/>
      <c r="AZ21" s="118"/>
      <c r="BA21" s="118"/>
      <c r="BB21" s="118"/>
      <c r="BC21" s="115"/>
      <c r="BD21" s="118"/>
      <c r="BE21" s="118"/>
      <c r="BF21" s="118"/>
      <c r="BG21" s="118"/>
      <c r="BH21" s="118"/>
      <c r="BI21" s="147"/>
      <c r="BJ21" s="165"/>
      <c r="BK21" s="153"/>
      <c r="BL21" s="118"/>
      <c r="BM21" s="118"/>
      <c r="BN21" s="118"/>
      <c r="BO21" s="118"/>
      <c r="BP21" s="118"/>
      <c r="BQ21" s="115"/>
      <c r="BR21" s="118"/>
      <c r="BS21" s="118"/>
      <c r="BT21" s="118"/>
      <c r="BU21" s="118"/>
      <c r="BV21" s="118"/>
      <c r="BW21" s="118"/>
      <c r="BX21" s="115"/>
      <c r="BY21" s="118"/>
      <c r="BZ21" s="118"/>
      <c r="CA21" s="118"/>
      <c r="CB21" s="118"/>
      <c r="CC21" s="128"/>
      <c r="CD21" s="118"/>
      <c r="CE21" s="115"/>
      <c r="CF21" s="118"/>
      <c r="CG21" s="118"/>
      <c r="CH21" s="118"/>
      <c r="CI21" s="118"/>
      <c r="CJ21" s="118"/>
      <c r="CK21" s="118"/>
      <c r="CL21" s="115"/>
      <c r="CM21" s="147"/>
      <c r="CN21" s="165"/>
    </row>
    <row r="22" spans="1:92" ht="18" customHeight="1" x14ac:dyDescent="0.25">
      <c r="A22" s="124">
        <v>17</v>
      </c>
      <c r="B22" s="96" t="s">
        <v>281</v>
      </c>
      <c r="C22" s="118"/>
      <c r="D22" s="118"/>
      <c r="E22" s="118"/>
      <c r="F22" s="115"/>
      <c r="G22" s="118"/>
      <c r="H22" s="118"/>
      <c r="I22" s="118"/>
      <c r="J22" s="115"/>
      <c r="K22" s="118"/>
      <c r="L22" s="118"/>
      <c r="M22" s="115"/>
      <c r="N22" s="118"/>
      <c r="O22" s="118"/>
      <c r="P22" s="118"/>
      <c r="Q22" s="118"/>
      <c r="R22" s="118"/>
      <c r="S22" s="118"/>
      <c r="T22" s="115"/>
      <c r="U22" s="118"/>
      <c r="V22" s="118"/>
      <c r="W22" s="118"/>
      <c r="X22" s="118"/>
      <c r="Y22" s="118"/>
      <c r="Z22" s="118"/>
      <c r="AA22" s="115"/>
      <c r="AB22" s="118"/>
      <c r="AC22" s="118"/>
      <c r="AD22" s="118"/>
      <c r="AE22" s="147"/>
      <c r="AF22" s="116"/>
      <c r="AG22" s="116"/>
      <c r="AH22" s="115"/>
      <c r="AI22" s="118"/>
      <c r="AJ22" s="118"/>
      <c r="AK22" s="118"/>
      <c r="AL22" s="118"/>
      <c r="AM22" s="115"/>
      <c r="AN22" s="118"/>
      <c r="AO22" s="115"/>
      <c r="AP22" s="118"/>
      <c r="AQ22" s="118"/>
      <c r="AR22" s="118"/>
      <c r="AS22" s="118"/>
      <c r="AT22" s="118"/>
      <c r="AU22" s="118"/>
      <c r="AV22" s="115"/>
      <c r="AW22" s="118"/>
      <c r="AX22" s="118"/>
      <c r="AY22" s="118"/>
      <c r="AZ22" s="118"/>
      <c r="BA22" s="118"/>
      <c r="BB22" s="118"/>
      <c r="BC22" s="115"/>
      <c r="BD22" s="118"/>
      <c r="BE22" s="118"/>
      <c r="BF22" s="118"/>
      <c r="BG22" s="118"/>
      <c r="BH22" s="118"/>
      <c r="BI22" s="147"/>
      <c r="BJ22" s="165"/>
      <c r="BK22" s="153"/>
      <c r="BL22" s="118"/>
      <c r="BM22" s="118"/>
      <c r="BN22" s="118"/>
      <c r="BO22" s="118"/>
      <c r="BP22" s="118"/>
      <c r="BQ22" s="115"/>
      <c r="BR22" s="118"/>
      <c r="BS22" s="118"/>
      <c r="BT22" s="118"/>
      <c r="BU22" s="118"/>
      <c r="BV22" s="118"/>
      <c r="BW22" s="118"/>
      <c r="BX22" s="115"/>
      <c r="BY22" s="118"/>
      <c r="BZ22" s="118"/>
      <c r="CA22" s="118"/>
      <c r="CB22" s="118"/>
      <c r="CC22" s="118"/>
      <c r="CD22" s="119"/>
      <c r="CE22" s="115"/>
      <c r="CF22" s="119"/>
      <c r="CG22" s="118"/>
      <c r="CH22" s="118"/>
      <c r="CI22" s="118"/>
      <c r="CJ22" s="118"/>
      <c r="CK22" s="118"/>
      <c r="CL22" s="115"/>
      <c r="CM22" s="147"/>
      <c r="CN22" s="165"/>
    </row>
    <row r="23" spans="1:92" ht="18" customHeight="1" x14ac:dyDescent="0.25">
      <c r="A23" s="145">
        <v>18</v>
      </c>
      <c r="B23" s="146" t="s">
        <v>282</v>
      </c>
      <c r="C23" s="118"/>
      <c r="D23" s="118"/>
      <c r="E23" s="118"/>
      <c r="F23" s="115"/>
      <c r="G23" s="118"/>
      <c r="H23" s="118"/>
      <c r="I23" s="118"/>
      <c r="J23" s="115"/>
      <c r="K23" s="118"/>
      <c r="L23" s="118"/>
      <c r="M23" s="115"/>
      <c r="N23" s="118"/>
      <c r="O23" s="118"/>
      <c r="P23" s="118"/>
      <c r="Q23" s="118"/>
      <c r="R23" s="118"/>
      <c r="S23" s="118"/>
      <c r="T23" s="115"/>
      <c r="U23" s="118"/>
      <c r="V23" s="118"/>
      <c r="W23" s="118"/>
      <c r="X23" s="118"/>
      <c r="Y23" s="118"/>
      <c r="Z23" s="118"/>
      <c r="AA23" s="115"/>
      <c r="AB23" s="118"/>
      <c r="AC23" s="118"/>
      <c r="AD23" s="131"/>
      <c r="AE23" s="34"/>
      <c r="AF23" s="131"/>
      <c r="AG23" s="116"/>
      <c r="AH23" s="115"/>
      <c r="AI23" s="116"/>
      <c r="AJ23" s="116"/>
      <c r="AK23" s="118"/>
      <c r="AL23" s="118"/>
      <c r="AM23" s="115"/>
      <c r="AN23" s="118"/>
      <c r="AO23" s="115"/>
      <c r="AP23" s="118"/>
      <c r="AQ23" s="118"/>
      <c r="AR23" s="118"/>
      <c r="AS23" s="118"/>
      <c r="AT23" s="118"/>
      <c r="AU23" s="118"/>
      <c r="AV23" s="115"/>
      <c r="AW23" s="118"/>
      <c r="AX23" s="118"/>
      <c r="AY23" s="118"/>
      <c r="AZ23" s="118"/>
      <c r="BA23" s="118"/>
      <c r="BB23" s="118"/>
      <c r="BC23" s="115"/>
      <c r="BD23" s="118"/>
      <c r="BE23" s="118"/>
      <c r="BF23" s="118"/>
      <c r="BG23" s="118"/>
      <c r="BH23" s="118"/>
      <c r="BI23" s="147"/>
      <c r="BJ23" s="165"/>
      <c r="BK23" s="153"/>
      <c r="BL23" s="118"/>
      <c r="BM23" s="118"/>
      <c r="BN23" s="118"/>
      <c r="BO23" s="118"/>
      <c r="BP23" s="118"/>
      <c r="BQ23" s="115"/>
      <c r="BR23" s="118"/>
      <c r="BS23" s="118"/>
      <c r="BT23" s="118"/>
      <c r="BU23" s="118"/>
      <c r="BV23" s="118"/>
      <c r="BW23" s="118"/>
      <c r="BX23" s="115"/>
      <c r="BY23" s="118"/>
      <c r="BZ23" s="118"/>
      <c r="CA23" s="118"/>
      <c r="CB23" s="118"/>
      <c r="CC23" s="118"/>
      <c r="CD23" s="119"/>
      <c r="CE23" s="115"/>
      <c r="CF23" s="119"/>
      <c r="CG23" s="118"/>
      <c r="CH23" s="118"/>
      <c r="CI23" s="118"/>
      <c r="CJ23" s="118"/>
      <c r="CK23" s="118"/>
      <c r="CL23" s="115"/>
      <c r="CM23" s="147"/>
      <c r="CN23" s="165"/>
    </row>
    <row r="24" spans="1:92" ht="18" customHeight="1" x14ac:dyDescent="0.25">
      <c r="A24" s="145">
        <v>19</v>
      </c>
      <c r="B24" s="146" t="s">
        <v>283</v>
      </c>
      <c r="C24" s="118"/>
      <c r="D24" s="118"/>
      <c r="E24" s="118"/>
      <c r="F24" s="115"/>
      <c r="G24" s="118"/>
      <c r="H24" s="118"/>
      <c r="I24" s="118"/>
      <c r="J24" s="115"/>
      <c r="K24" s="118"/>
      <c r="L24" s="118"/>
      <c r="M24" s="115"/>
      <c r="N24" s="118"/>
      <c r="O24" s="118"/>
      <c r="P24" s="118"/>
      <c r="Q24" s="118"/>
      <c r="R24" s="118"/>
      <c r="S24" s="118"/>
      <c r="T24" s="115"/>
      <c r="U24" s="118"/>
      <c r="V24" s="118"/>
      <c r="W24" s="118"/>
      <c r="X24" s="118"/>
      <c r="Y24" s="118"/>
      <c r="Z24" s="118"/>
      <c r="AA24" s="115"/>
      <c r="AB24" s="118"/>
      <c r="AC24" s="118"/>
      <c r="AD24" s="118"/>
      <c r="AE24" s="147"/>
      <c r="AF24" s="131"/>
      <c r="AG24" s="131"/>
      <c r="AH24" s="115"/>
      <c r="AI24" s="116"/>
      <c r="AJ24" s="116"/>
      <c r="AK24" s="143"/>
      <c r="AL24" s="143"/>
      <c r="AM24" s="115"/>
      <c r="AN24" s="118"/>
      <c r="AO24" s="115"/>
      <c r="AP24" s="118"/>
      <c r="AQ24" s="118"/>
      <c r="AR24" s="118"/>
      <c r="AS24" s="118"/>
      <c r="AT24" s="118"/>
      <c r="AU24" s="118"/>
      <c r="AV24" s="115"/>
      <c r="AW24" s="118"/>
      <c r="AX24" s="118"/>
      <c r="AY24" s="118"/>
      <c r="AZ24" s="118"/>
      <c r="BA24" s="118"/>
      <c r="BB24" s="118"/>
      <c r="BC24" s="115"/>
      <c r="BD24" s="118"/>
      <c r="BE24" s="118"/>
      <c r="BF24" s="118"/>
      <c r="BG24" s="118"/>
      <c r="BH24" s="118"/>
      <c r="BI24" s="147"/>
      <c r="BJ24" s="165"/>
      <c r="BK24" s="153"/>
      <c r="BL24" s="118"/>
      <c r="BM24" s="118"/>
      <c r="BN24" s="118"/>
      <c r="BO24" s="118"/>
      <c r="BP24" s="118"/>
      <c r="BQ24" s="115"/>
      <c r="BR24" s="118"/>
      <c r="BS24" s="118"/>
      <c r="BT24" s="118"/>
      <c r="BU24" s="118"/>
      <c r="BV24" s="118"/>
      <c r="BW24" s="118"/>
      <c r="BX24" s="115"/>
      <c r="BY24" s="118"/>
      <c r="BZ24" s="118"/>
      <c r="CA24" s="118"/>
      <c r="CB24" s="118"/>
      <c r="CC24" s="118"/>
      <c r="CD24" s="119"/>
      <c r="CE24" s="115"/>
      <c r="CF24" s="119"/>
      <c r="CG24" s="118"/>
      <c r="CH24" s="118"/>
      <c r="CI24" s="118"/>
      <c r="CJ24" s="118"/>
      <c r="CK24" s="118"/>
      <c r="CL24" s="115"/>
      <c r="CM24" s="147"/>
      <c r="CN24" s="165"/>
    </row>
    <row r="25" spans="1:92" ht="18" customHeight="1" x14ac:dyDescent="0.25">
      <c r="A25" s="124">
        <v>20</v>
      </c>
      <c r="B25" s="96" t="s">
        <v>284</v>
      </c>
      <c r="C25" s="118"/>
      <c r="D25" s="118"/>
      <c r="E25" s="118"/>
      <c r="F25" s="115"/>
      <c r="G25" s="118"/>
      <c r="H25" s="118"/>
      <c r="I25" s="118"/>
      <c r="J25" s="115"/>
      <c r="K25" s="118"/>
      <c r="L25" s="118"/>
      <c r="M25" s="115"/>
      <c r="N25" s="118"/>
      <c r="O25" s="118"/>
      <c r="P25" s="118"/>
      <c r="Q25" s="118"/>
      <c r="R25" s="118"/>
      <c r="S25" s="118"/>
      <c r="T25" s="115"/>
      <c r="U25" s="118"/>
      <c r="V25" s="118"/>
      <c r="W25" s="118"/>
      <c r="X25" s="118"/>
      <c r="Y25" s="118"/>
      <c r="Z25" s="118"/>
      <c r="AA25" s="115"/>
      <c r="AB25" s="118"/>
      <c r="AC25" s="118"/>
      <c r="AD25" s="118"/>
      <c r="AE25" s="147"/>
      <c r="AF25" s="118"/>
      <c r="AG25" s="118"/>
      <c r="AH25" s="115"/>
      <c r="AI25" s="118"/>
      <c r="AJ25" s="118"/>
      <c r="AK25" s="118"/>
      <c r="AL25" s="118"/>
      <c r="AM25" s="115"/>
      <c r="AN25" s="118"/>
      <c r="AO25" s="115"/>
      <c r="AP25" s="118"/>
      <c r="AQ25" s="118"/>
      <c r="AR25" s="118"/>
      <c r="AS25" s="118"/>
      <c r="AT25" s="118"/>
      <c r="AU25" s="118"/>
      <c r="AV25" s="115"/>
      <c r="AW25" s="118"/>
      <c r="AX25" s="118"/>
      <c r="AY25" s="118"/>
      <c r="AZ25" s="118"/>
      <c r="BA25" s="118"/>
      <c r="BB25" s="118"/>
      <c r="BC25" s="115"/>
      <c r="BD25" s="118"/>
      <c r="BE25" s="118"/>
      <c r="BF25" s="118"/>
      <c r="BG25" s="118"/>
      <c r="BH25" s="118"/>
      <c r="BI25" s="147"/>
      <c r="BJ25" s="165"/>
      <c r="BK25" s="153"/>
      <c r="BL25" s="118"/>
      <c r="BM25" s="118"/>
      <c r="BN25" s="118"/>
      <c r="BO25" s="118"/>
      <c r="BP25" s="118"/>
      <c r="BQ25" s="115"/>
      <c r="BR25" s="118"/>
      <c r="BS25" s="118"/>
      <c r="BT25" s="118"/>
      <c r="BU25" s="118"/>
      <c r="BV25" s="118"/>
      <c r="BW25" s="118"/>
      <c r="BX25" s="115"/>
      <c r="BY25" s="118"/>
      <c r="BZ25" s="118"/>
      <c r="CA25" s="118"/>
      <c r="CB25" s="118"/>
      <c r="CC25" s="118"/>
      <c r="CD25" s="119"/>
      <c r="CE25" s="115"/>
      <c r="CF25" s="119"/>
      <c r="CG25" s="118"/>
      <c r="CH25" s="118"/>
      <c r="CI25" s="118"/>
      <c r="CJ25" s="118"/>
      <c r="CK25" s="118"/>
      <c r="CL25" s="115"/>
      <c r="CM25" s="147"/>
      <c r="CN25" s="165"/>
    </row>
    <row r="26" spans="1:92" ht="18" customHeight="1" x14ac:dyDescent="0.25">
      <c r="A26" s="145">
        <v>21</v>
      </c>
      <c r="B26" s="146" t="s">
        <v>49</v>
      </c>
      <c r="C26" s="118"/>
      <c r="D26" s="118"/>
      <c r="E26" s="118"/>
      <c r="F26" s="115"/>
      <c r="G26" s="118"/>
      <c r="H26" s="118"/>
      <c r="I26" s="118"/>
      <c r="J26" s="115"/>
      <c r="K26" s="118"/>
      <c r="L26" s="118"/>
      <c r="M26" s="115"/>
      <c r="N26" s="118"/>
      <c r="O26" s="118"/>
      <c r="P26" s="118"/>
      <c r="Q26" s="118"/>
      <c r="R26" s="118"/>
      <c r="S26" s="118"/>
      <c r="T26" s="115"/>
      <c r="U26" s="118"/>
      <c r="V26" s="118"/>
      <c r="W26" s="118"/>
      <c r="X26" s="118"/>
      <c r="Y26" s="118"/>
      <c r="Z26" s="118"/>
      <c r="AA26" s="115"/>
      <c r="AB26" s="118"/>
      <c r="AC26" s="118"/>
      <c r="AD26" s="118"/>
      <c r="AE26" s="118"/>
      <c r="AF26" s="118"/>
      <c r="AG26" s="118"/>
      <c r="AH26" s="115"/>
      <c r="AI26" s="131"/>
      <c r="AJ26" s="131"/>
      <c r="AK26" s="118"/>
      <c r="AL26" s="118"/>
      <c r="AM26" s="115"/>
      <c r="AN26" s="118"/>
      <c r="AO26" s="115"/>
      <c r="AP26" s="118"/>
      <c r="AQ26" s="118"/>
      <c r="AR26" s="118"/>
      <c r="AS26" s="118"/>
      <c r="AT26" s="118"/>
      <c r="AU26" s="118"/>
      <c r="AV26" s="115"/>
      <c r="AW26" s="118"/>
      <c r="AX26" s="118"/>
      <c r="AY26" s="118"/>
      <c r="AZ26" s="118"/>
      <c r="BA26" s="118"/>
      <c r="BB26" s="118"/>
      <c r="BC26" s="115"/>
      <c r="BD26" s="118"/>
      <c r="BE26" s="118"/>
      <c r="BF26" s="118"/>
      <c r="BG26" s="118"/>
      <c r="BH26" s="118"/>
      <c r="BI26" s="147"/>
      <c r="BJ26" s="165"/>
      <c r="BK26" s="153"/>
      <c r="BL26" s="118"/>
      <c r="BM26" s="118"/>
      <c r="BN26" s="118"/>
      <c r="BO26" s="118"/>
      <c r="BP26" s="118"/>
      <c r="BQ26" s="115"/>
      <c r="BR26" s="118"/>
      <c r="BS26" s="118"/>
      <c r="BT26" s="118"/>
      <c r="BU26" s="118"/>
      <c r="BV26" s="118"/>
      <c r="BW26" s="118"/>
      <c r="BX26" s="115"/>
      <c r="BY26" s="118"/>
      <c r="BZ26" s="118"/>
      <c r="CA26" s="118"/>
      <c r="CB26" s="118"/>
      <c r="CC26" s="118"/>
      <c r="CD26" s="119"/>
      <c r="CE26" s="115"/>
      <c r="CF26" s="119"/>
      <c r="CG26" s="118"/>
      <c r="CH26" s="118"/>
      <c r="CI26" s="118"/>
      <c r="CJ26" s="118"/>
      <c r="CK26" s="118"/>
      <c r="CL26" s="115"/>
      <c r="CM26" s="147"/>
      <c r="CN26" s="165"/>
    </row>
    <row r="27" spans="1:92" ht="18" customHeight="1" x14ac:dyDescent="0.25">
      <c r="A27" s="145">
        <v>22</v>
      </c>
      <c r="B27" s="146" t="s">
        <v>285</v>
      </c>
      <c r="C27" s="118"/>
      <c r="D27" s="118"/>
      <c r="E27" s="118"/>
      <c r="F27" s="115"/>
      <c r="G27" s="118"/>
      <c r="H27" s="118"/>
      <c r="I27" s="118"/>
      <c r="J27" s="115"/>
      <c r="K27" s="118"/>
      <c r="L27" s="118"/>
      <c r="M27" s="115"/>
      <c r="N27" s="118"/>
      <c r="O27" s="118"/>
      <c r="P27" s="118"/>
      <c r="Q27" s="118"/>
      <c r="R27" s="118"/>
      <c r="S27" s="118"/>
      <c r="T27" s="115"/>
      <c r="U27" s="118"/>
      <c r="V27" s="118"/>
      <c r="W27" s="118"/>
      <c r="X27" s="118"/>
      <c r="Y27" s="118"/>
      <c r="Z27" s="118"/>
      <c r="AA27" s="115"/>
      <c r="AB27" s="118"/>
      <c r="AC27" s="118"/>
      <c r="AD27" s="118"/>
      <c r="AE27" s="118"/>
      <c r="AF27" s="118"/>
      <c r="AG27" s="118"/>
      <c r="AH27" s="115"/>
      <c r="AI27" s="118"/>
      <c r="AJ27" s="118"/>
      <c r="AK27" s="131"/>
      <c r="AL27" s="131"/>
      <c r="AM27" s="115"/>
      <c r="AN27" s="116"/>
      <c r="AO27" s="115"/>
      <c r="AP27" s="116"/>
      <c r="AQ27" s="116"/>
      <c r="AR27" s="116"/>
      <c r="AS27" s="116"/>
      <c r="AT27" s="118"/>
      <c r="AU27" s="118"/>
      <c r="AV27" s="115"/>
      <c r="AW27" s="118"/>
      <c r="AX27" s="118"/>
      <c r="AY27" s="118"/>
      <c r="AZ27" s="118"/>
      <c r="BA27" s="118"/>
      <c r="BB27" s="118"/>
      <c r="BC27" s="115"/>
      <c r="BD27" s="118"/>
      <c r="BE27" s="118"/>
      <c r="BF27" s="118"/>
      <c r="BG27" s="118"/>
      <c r="BH27" s="118"/>
      <c r="BI27" s="147"/>
      <c r="BJ27" s="165"/>
      <c r="BK27" s="153"/>
      <c r="BL27" s="118"/>
      <c r="BM27" s="118"/>
      <c r="BN27" s="118"/>
      <c r="BO27" s="118"/>
      <c r="BP27" s="118"/>
      <c r="BQ27" s="115"/>
      <c r="BR27" s="118"/>
      <c r="BS27" s="118"/>
      <c r="BT27" s="118"/>
      <c r="BU27" s="118"/>
      <c r="BV27" s="118"/>
      <c r="BW27" s="118"/>
      <c r="BX27" s="115"/>
      <c r="BY27" s="118"/>
      <c r="BZ27" s="118"/>
      <c r="CA27" s="118"/>
      <c r="CB27" s="118"/>
      <c r="CC27" s="118"/>
      <c r="CD27" s="119"/>
      <c r="CE27" s="115"/>
      <c r="CF27" s="119"/>
      <c r="CG27" s="118"/>
      <c r="CH27" s="118"/>
      <c r="CI27" s="118"/>
      <c r="CJ27" s="118"/>
      <c r="CK27" s="118"/>
      <c r="CL27" s="115"/>
      <c r="CM27" s="147"/>
      <c r="CN27" s="165"/>
    </row>
    <row r="28" spans="1:92" ht="18" customHeight="1" x14ac:dyDescent="0.25">
      <c r="A28" s="145">
        <v>23</v>
      </c>
      <c r="B28" s="146" t="s">
        <v>286</v>
      </c>
      <c r="C28" s="118"/>
      <c r="D28" s="118"/>
      <c r="E28" s="118"/>
      <c r="F28" s="115"/>
      <c r="G28" s="118"/>
      <c r="H28" s="118"/>
      <c r="I28" s="118"/>
      <c r="J28" s="115"/>
      <c r="K28" s="118"/>
      <c r="L28" s="118"/>
      <c r="M28" s="115"/>
      <c r="N28" s="118"/>
      <c r="O28" s="118"/>
      <c r="P28" s="118"/>
      <c r="Q28" s="118"/>
      <c r="R28" s="118"/>
      <c r="S28" s="118"/>
      <c r="T28" s="115"/>
      <c r="U28" s="118"/>
      <c r="V28" s="118"/>
      <c r="W28" s="118"/>
      <c r="X28" s="118"/>
      <c r="Y28" s="118"/>
      <c r="Z28" s="118"/>
      <c r="AA28" s="115"/>
      <c r="AB28" s="118"/>
      <c r="AC28" s="118"/>
      <c r="AD28" s="118"/>
      <c r="AE28" s="118"/>
      <c r="AF28" s="118"/>
      <c r="AG28" s="118"/>
      <c r="AH28" s="115"/>
      <c r="AI28" s="118"/>
      <c r="AJ28" s="118"/>
      <c r="AK28" s="118"/>
      <c r="AL28" s="118"/>
      <c r="AM28" s="115"/>
      <c r="AN28" s="131"/>
      <c r="AO28" s="115"/>
      <c r="AP28" s="118"/>
      <c r="AQ28" s="118"/>
      <c r="AR28" s="116"/>
      <c r="AS28" s="116"/>
      <c r="AT28" s="116"/>
      <c r="AU28" s="116"/>
      <c r="AV28" s="115"/>
      <c r="AW28" s="118"/>
      <c r="AX28" s="118"/>
      <c r="AY28" s="118"/>
      <c r="AZ28" s="118"/>
      <c r="BA28" s="118"/>
      <c r="BB28" s="118"/>
      <c r="BC28" s="115"/>
      <c r="BD28" s="118"/>
      <c r="BE28" s="118"/>
      <c r="BF28" s="118"/>
      <c r="BG28" s="118"/>
      <c r="BH28" s="118"/>
      <c r="BI28" s="147"/>
      <c r="BJ28" s="165"/>
      <c r="BK28" s="153"/>
      <c r="BL28" s="118"/>
      <c r="BM28" s="118"/>
      <c r="BN28" s="118"/>
      <c r="BO28" s="118"/>
      <c r="BP28" s="118"/>
      <c r="BQ28" s="115"/>
      <c r="BR28" s="118"/>
      <c r="BS28" s="118"/>
      <c r="BT28" s="118"/>
      <c r="BU28" s="118"/>
      <c r="BV28" s="118"/>
      <c r="BW28" s="118"/>
      <c r="BX28" s="115"/>
      <c r="BY28" s="118"/>
      <c r="BZ28" s="118"/>
      <c r="CA28" s="118"/>
      <c r="CB28" s="118"/>
      <c r="CC28" s="118"/>
      <c r="CD28" s="119"/>
      <c r="CE28" s="115"/>
      <c r="CF28" s="119"/>
      <c r="CG28" s="118"/>
      <c r="CH28" s="118"/>
      <c r="CI28" s="118"/>
      <c r="CJ28" s="118"/>
      <c r="CK28" s="118"/>
      <c r="CL28" s="115"/>
      <c r="CM28" s="147"/>
      <c r="CN28" s="165"/>
    </row>
    <row r="29" spans="1:92" ht="18" customHeight="1" x14ac:dyDescent="0.25">
      <c r="A29" s="124">
        <v>24</v>
      </c>
      <c r="B29" s="96" t="s">
        <v>287</v>
      </c>
      <c r="C29" s="118"/>
      <c r="D29" s="118"/>
      <c r="E29" s="118"/>
      <c r="F29" s="115"/>
      <c r="G29" s="118"/>
      <c r="H29" s="118"/>
      <c r="I29" s="118"/>
      <c r="J29" s="115"/>
      <c r="K29" s="118"/>
      <c r="L29" s="118"/>
      <c r="M29" s="115"/>
      <c r="N29" s="118"/>
      <c r="O29" s="118"/>
      <c r="P29" s="118"/>
      <c r="Q29" s="118"/>
      <c r="R29" s="118"/>
      <c r="S29" s="118"/>
      <c r="T29" s="115"/>
      <c r="U29" s="118"/>
      <c r="V29" s="118"/>
      <c r="W29" s="118"/>
      <c r="X29" s="118"/>
      <c r="Y29" s="118"/>
      <c r="Z29" s="118"/>
      <c r="AA29" s="115"/>
      <c r="AB29" s="118"/>
      <c r="AC29" s="118"/>
      <c r="AD29" s="118"/>
      <c r="AE29" s="118"/>
      <c r="AF29" s="118"/>
      <c r="AG29" s="118"/>
      <c r="AH29" s="115"/>
      <c r="AI29" s="118"/>
      <c r="AJ29" s="118"/>
      <c r="AK29" s="118"/>
      <c r="AL29" s="118"/>
      <c r="AM29" s="115"/>
      <c r="AN29" s="118"/>
      <c r="AO29" s="115"/>
      <c r="AP29" s="118"/>
      <c r="AQ29" s="118"/>
      <c r="AR29" s="118"/>
      <c r="AS29" s="118"/>
      <c r="AT29" s="118"/>
      <c r="AU29" s="118"/>
      <c r="AV29" s="115"/>
      <c r="AW29" s="118"/>
      <c r="AY29" s="116"/>
      <c r="AZ29" s="116"/>
      <c r="BA29" s="116"/>
      <c r="BB29" s="116"/>
      <c r="BC29" s="115"/>
      <c r="BD29" s="118"/>
      <c r="BE29" s="118"/>
      <c r="BF29" s="118"/>
      <c r="BG29" s="118"/>
      <c r="BH29" s="118"/>
      <c r="BI29" s="147"/>
      <c r="BJ29" s="165"/>
      <c r="BK29" s="153"/>
      <c r="BL29" s="118"/>
      <c r="BM29" s="118"/>
      <c r="BN29" s="118"/>
      <c r="BO29" s="118"/>
      <c r="BP29" s="118"/>
      <c r="BQ29" s="115"/>
      <c r="BR29" s="118"/>
      <c r="BS29" s="118"/>
      <c r="BT29" s="118"/>
      <c r="BU29" s="118"/>
      <c r="BV29" s="118"/>
      <c r="BW29" s="118"/>
      <c r="BX29" s="115"/>
      <c r="BY29" s="118"/>
      <c r="BZ29" s="118"/>
      <c r="CA29" s="118"/>
      <c r="CB29" s="118"/>
      <c r="CC29" s="118"/>
      <c r="CD29" s="119"/>
      <c r="CE29" s="115"/>
      <c r="CF29" s="119"/>
      <c r="CG29" s="118"/>
      <c r="CH29" s="118"/>
      <c r="CI29" s="118"/>
      <c r="CJ29" s="118"/>
      <c r="CK29" s="118"/>
      <c r="CL29" s="115"/>
      <c r="CM29" s="147"/>
      <c r="CN29" s="165"/>
    </row>
    <row r="30" spans="1:92" ht="18" customHeight="1" x14ac:dyDescent="0.25">
      <c r="A30" s="145">
        <v>25</v>
      </c>
      <c r="B30" s="146" t="s">
        <v>288</v>
      </c>
      <c r="C30" s="118"/>
      <c r="D30" s="118"/>
      <c r="E30" s="118"/>
      <c r="F30" s="115"/>
      <c r="G30" s="118"/>
      <c r="H30" s="118"/>
      <c r="I30" s="118"/>
      <c r="J30" s="115"/>
      <c r="K30" s="118"/>
      <c r="L30" s="118"/>
      <c r="M30" s="115"/>
      <c r="N30" s="118"/>
      <c r="O30" s="118"/>
      <c r="P30" s="118"/>
      <c r="Q30" s="118"/>
      <c r="R30" s="118"/>
      <c r="S30" s="118"/>
      <c r="T30" s="115"/>
      <c r="U30" s="118"/>
      <c r="V30" s="118"/>
      <c r="W30" s="118"/>
      <c r="X30" s="118"/>
      <c r="Y30" s="118"/>
      <c r="Z30" s="118"/>
      <c r="AA30" s="115"/>
      <c r="AB30" s="118"/>
      <c r="AC30" s="118"/>
      <c r="AD30" s="118"/>
      <c r="AE30" s="118"/>
      <c r="AF30" s="118"/>
      <c r="AG30" s="118"/>
      <c r="AH30" s="115"/>
      <c r="AI30" s="118"/>
      <c r="AJ30" s="118"/>
      <c r="AK30" s="118"/>
      <c r="AL30" s="118"/>
      <c r="AM30" s="115"/>
      <c r="AN30" s="118"/>
      <c r="AO30" s="115"/>
      <c r="AP30" s="118"/>
      <c r="AQ30" s="131"/>
      <c r="AR30" s="118"/>
      <c r="AS30" s="118"/>
      <c r="AT30" s="118"/>
      <c r="AU30" s="118"/>
      <c r="AV30" s="115"/>
      <c r="AW30" s="137"/>
      <c r="AX30" s="137"/>
      <c r="AY30" s="137"/>
      <c r="AZ30" s="138"/>
      <c r="BA30" s="144"/>
      <c r="BB30" s="144"/>
      <c r="BC30" s="115"/>
      <c r="BD30" s="116"/>
      <c r="BE30" s="118"/>
      <c r="BF30" s="118"/>
      <c r="BG30" s="118"/>
      <c r="BH30" s="118"/>
      <c r="BI30" s="147"/>
      <c r="BJ30" s="165"/>
      <c r="BK30" s="153"/>
      <c r="BL30" s="118"/>
      <c r="BM30" s="118"/>
      <c r="BN30" s="118"/>
      <c r="BO30" s="118"/>
      <c r="BP30" s="118"/>
      <c r="BQ30" s="115"/>
      <c r="BR30" s="118"/>
      <c r="BS30" s="118"/>
      <c r="BT30" s="118"/>
      <c r="BU30" s="118"/>
      <c r="BV30" s="118"/>
      <c r="BW30" s="118"/>
      <c r="BX30" s="115"/>
      <c r="BY30" s="118"/>
      <c r="BZ30" s="118"/>
      <c r="CA30" s="118"/>
      <c r="CB30" s="118"/>
      <c r="CC30" s="118"/>
      <c r="CD30" s="119"/>
      <c r="CE30" s="115"/>
      <c r="CF30" s="119"/>
      <c r="CG30" s="118"/>
      <c r="CH30" s="118"/>
      <c r="CI30" s="118"/>
      <c r="CJ30" s="118"/>
      <c r="CK30" s="118"/>
      <c r="CL30" s="115"/>
      <c r="CM30" s="147"/>
      <c r="CN30" s="165"/>
    </row>
    <row r="31" spans="1:92" ht="18" customHeight="1" x14ac:dyDescent="0.25">
      <c r="A31" s="145">
        <v>26</v>
      </c>
      <c r="B31" s="146" t="s">
        <v>289</v>
      </c>
      <c r="C31" s="118"/>
      <c r="D31" s="118"/>
      <c r="E31" s="118"/>
      <c r="F31" s="115"/>
      <c r="G31" s="118"/>
      <c r="H31" s="118"/>
      <c r="I31" s="118"/>
      <c r="J31" s="115"/>
      <c r="K31" s="118"/>
      <c r="L31" s="118"/>
      <c r="M31" s="115"/>
      <c r="N31" s="118"/>
      <c r="O31" s="118"/>
      <c r="P31" s="118"/>
      <c r="Q31" s="118"/>
      <c r="R31" s="118"/>
      <c r="S31" s="118"/>
      <c r="T31" s="115"/>
      <c r="U31" s="118"/>
      <c r="V31" s="118"/>
      <c r="W31" s="118"/>
      <c r="X31" s="118"/>
      <c r="Y31" s="118"/>
      <c r="Z31" s="118"/>
      <c r="AA31" s="115"/>
      <c r="AB31" s="118"/>
      <c r="AC31" s="118"/>
      <c r="AD31" s="118"/>
      <c r="AE31" s="118"/>
      <c r="AF31" s="118"/>
      <c r="AG31" s="118"/>
      <c r="AH31" s="115"/>
      <c r="AI31" s="118"/>
      <c r="AJ31" s="118"/>
      <c r="AK31" s="118"/>
      <c r="AL31" s="118"/>
      <c r="AM31" s="115"/>
      <c r="AN31" s="118"/>
      <c r="AO31" s="115"/>
      <c r="AP31" s="118"/>
      <c r="AQ31" s="118"/>
      <c r="AR31" s="131"/>
      <c r="AS31" s="131"/>
      <c r="AT31" s="131"/>
      <c r="AU31" s="118"/>
      <c r="AV31" s="115"/>
      <c r="AZ31" s="118"/>
      <c r="BA31" s="118"/>
      <c r="BB31" s="118"/>
      <c r="BC31" s="115"/>
      <c r="BD31" s="116"/>
      <c r="BE31" s="116"/>
      <c r="BF31" s="116"/>
      <c r="BG31" s="116"/>
      <c r="BH31" s="116"/>
      <c r="BI31" s="147"/>
      <c r="BJ31" s="165"/>
      <c r="BK31" s="153"/>
      <c r="BL31" s="118"/>
      <c r="BM31" s="118"/>
      <c r="BN31" s="118"/>
      <c r="BO31" s="118"/>
      <c r="BP31" s="118"/>
      <c r="BQ31" s="115"/>
      <c r="BR31" s="118"/>
      <c r="BS31" s="118"/>
      <c r="BT31" s="118"/>
      <c r="BU31" s="118"/>
      <c r="BV31" s="118"/>
      <c r="BW31" s="118"/>
      <c r="BX31" s="115"/>
      <c r="BY31" s="118"/>
      <c r="BZ31" s="118"/>
      <c r="CA31" s="118"/>
      <c r="CB31" s="118"/>
      <c r="CC31" s="118"/>
      <c r="CD31" s="119"/>
      <c r="CE31" s="115"/>
      <c r="CF31" s="119"/>
      <c r="CG31" s="118"/>
      <c r="CH31" s="118"/>
      <c r="CI31" s="118"/>
      <c r="CJ31" s="118"/>
      <c r="CK31" s="118"/>
      <c r="CL31" s="115"/>
      <c r="CM31" s="147"/>
      <c r="CN31" s="165"/>
    </row>
    <row r="32" spans="1:92" ht="18" customHeight="1" x14ac:dyDescent="0.25">
      <c r="A32" s="124">
        <v>27</v>
      </c>
      <c r="B32" s="96" t="s">
        <v>290</v>
      </c>
      <c r="C32" s="118"/>
      <c r="D32" s="118"/>
      <c r="E32" s="118"/>
      <c r="F32" s="115"/>
      <c r="G32" s="118"/>
      <c r="H32" s="118"/>
      <c r="I32" s="118"/>
      <c r="J32" s="115"/>
      <c r="K32" s="118"/>
      <c r="L32" s="118"/>
      <c r="M32" s="115"/>
      <c r="N32" s="118"/>
      <c r="O32" s="118"/>
      <c r="P32" s="118"/>
      <c r="Q32" s="118"/>
      <c r="R32" s="118"/>
      <c r="S32" s="118"/>
      <c r="T32" s="115"/>
      <c r="U32" s="118"/>
      <c r="V32" s="118"/>
      <c r="W32" s="118"/>
      <c r="X32" s="118"/>
      <c r="Y32" s="118"/>
      <c r="Z32" s="118"/>
      <c r="AA32" s="115"/>
      <c r="AB32" s="118"/>
      <c r="AC32" s="118"/>
      <c r="AD32" s="118"/>
      <c r="AE32" s="118"/>
      <c r="AF32" s="118"/>
      <c r="AG32" s="118"/>
      <c r="AH32" s="115"/>
      <c r="AI32" s="118"/>
      <c r="AJ32" s="118"/>
      <c r="AK32" s="118"/>
      <c r="AL32" s="118"/>
      <c r="AM32" s="115"/>
      <c r="AN32" s="118"/>
      <c r="AO32" s="115"/>
      <c r="AP32" s="118"/>
      <c r="AQ32" s="118"/>
      <c r="AR32" s="118"/>
      <c r="AS32" s="118"/>
      <c r="AT32" s="118"/>
      <c r="AU32" s="118"/>
      <c r="AV32" s="115"/>
      <c r="AW32" s="118"/>
      <c r="AX32" s="118"/>
      <c r="AY32" s="118"/>
      <c r="AZ32" s="118"/>
      <c r="BA32" s="118"/>
      <c r="BB32" s="118"/>
      <c r="BC32" s="115"/>
      <c r="BD32" s="118"/>
      <c r="BE32" s="118"/>
      <c r="BF32" s="118"/>
      <c r="BG32" s="118"/>
      <c r="BH32" s="118"/>
      <c r="BI32" s="150"/>
      <c r="BJ32" s="165"/>
      <c r="BK32" s="155"/>
      <c r="BL32" s="116"/>
      <c r="BM32" s="116"/>
      <c r="BN32" s="118"/>
      <c r="BO32" s="118"/>
      <c r="BP32" s="118"/>
      <c r="BQ32" s="115"/>
      <c r="BR32" s="118"/>
      <c r="BS32" s="118"/>
      <c r="BT32" s="118"/>
      <c r="BU32" s="118"/>
      <c r="BV32" s="118"/>
      <c r="BW32" s="118"/>
      <c r="BX32" s="115"/>
      <c r="BY32" s="118"/>
      <c r="BZ32" s="118"/>
      <c r="CA32" s="118"/>
      <c r="CB32" s="118"/>
      <c r="CC32" s="118"/>
      <c r="CD32" s="119"/>
      <c r="CE32" s="115"/>
      <c r="CF32" s="119"/>
      <c r="CG32" s="118"/>
      <c r="CH32" s="118"/>
      <c r="CI32" s="118"/>
      <c r="CJ32" s="118"/>
      <c r="CK32" s="118"/>
      <c r="CL32" s="115"/>
      <c r="CM32" s="147"/>
      <c r="CN32" s="165"/>
    </row>
    <row r="33" spans="1:92" ht="18" customHeight="1" x14ac:dyDescent="0.25">
      <c r="A33" s="124">
        <v>28</v>
      </c>
      <c r="B33" s="96" t="s">
        <v>162</v>
      </c>
      <c r="C33" s="118"/>
      <c r="D33" s="118"/>
      <c r="E33" s="118"/>
      <c r="F33" s="115"/>
      <c r="G33" s="118"/>
      <c r="H33" s="118"/>
      <c r="I33" s="118"/>
      <c r="J33" s="115"/>
      <c r="K33" s="118"/>
      <c r="L33" s="118"/>
      <c r="M33" s="115"/>
      <c r="N33" s="118"/>
      <c r="O33" s="118"/>
      <c r="P33" s="118"/>
      <c r="Q33" s="118"/>
      <c r="R33" s="118"/>
      <c r="S33" s="118"/>
      <c r="T33" s="115"/>
      <c r="U33" s="118"/>
      <c r="V33" s="118"/>
      <c r="W33" s="118"/>
      <c r="X33" s="118"/>
      <c r="Y33" s="118"/>
      <c r="Z33" s="118"/>
      <c r="AA33" s="115"/>
      <c r="AB33" s="118"/>
      <c r="AC33" s="118"/>
      <c r="AD33" s="118"/>
      <c r="AE33" s="118"/>
      <c r="AF33" s="118"/>
      <c r="AG33" s="118"/>
      <c r="AH33" s="115"/>
      <c r="AI33" s="118"/>
      <c r="AJ33" s="118"/>
      <c r="AK33" s="118"/>
      <c r="AL33" s="118"/>
      <c r="AM33" s="115"/>
      <c r="AN33" s="118"/>
      <c r="AO33" s="115"/>
      <c r="AP33" s="118"/>
      <c r="AQ33" s="118"/>
      <c r="AR33" s="118"/>
      <c r="AS33" s="118"/>
      <c r="AT33" s="118"/>
      <c r="AU33" s="131"/>
      <c r="AV33" s="115"/>
      <c r="AW33" s="118"/>
      <c r="AX33" s="116"/>
      <c r="AY33" s="116"/>
      <c r="AZ33" s="116"/>
      <c r="BA33" s="116"/>
      <c r="BB33" s="116"/>
      <c r="BC33" s="115"/>
      <c r="BD33" s="116"/>
      <c r="BE33" s="118"/>
      <c r="BF33" s="118"/>
      <c r="BG33" s="118"/>
      <c r="BH33" s="118"/>
      <c r="BI33" s="147"/>
      <c r="BJ33" s="165"/>
      <c r="BK33" s="153"/>
      <c r="BL33" s="118"/>
      <c r="BM33" s="118"/>
      <c r="BN33" s="118"/>
      <c r="BO33" s="118"/>
      <c r="BP33" s="118"/>
      <c r="BQ33" s="115"/>
      <c r="BR33" s="118"/>
      <c r="BS33" s="118"/>
      <c r="BT33" s="118"/>
      <c r="BU33" s="118"/>
      <c r="BV33" s="118"/>
      <c r="BW33" s="118"/>
      <c r="BX33" s="115"/>
      <c r="BY33" s="118"/>
      <c r="BZ33" s="118"/>
      <c r="CA33" s="118"/>
      <c r="CB33" s="118"/>
      <c r="CC33" s="118"/>
      <c r="CD33" s="94"/>
      <c r="CE33" s="115"/>
      <c r="CF33" s="94"/>
      <c r="CG33" s="128"/>
      <c r="CH33" s="128"/>
      <c r="CI33" s="128"/>
      <c r="CJ33" s="128"/>
      <c r="CK33" s="128"/>
      <c r="CL33" s="115"/>
      <c r="CM33" s="147"/>
      <c r="CN33" s="165"/>
    </row>
    <row r="34" spans="1:92" ht="18" customHeight="1" x14ac:dyDescent="0.25">
      <c r="A34" s="124">
        <v>29</v>
      </c>
      <c r="B34" s="96" t="s">
        <v>163</v>
      </c>
      <c r="C34" s="118"/>
      <c r="D34" s="118"/>
      <c r="E34" s="118"/>
      <c r="F34" s="115"/>
      <c r="G34" s="118"/>
      <c r="H34" s="118"/>
      <c r="I34" s="118"/>
      <c r="J34" s="115"/>
      <c r="K34" s="118"/>
      <c r="L34" s="118"/>
      <c r="M34" s="115"/>
      <c r="N34" s="118"/>
      <c r="O34" s="118"/>
      <c r="P34" s="118"/>
      <c r="Q34" s="118"/>
      <c r="R34" s="118"/>
      <c r="S34" s="118"/>
      <c r="T34" s="115"/>
      <c r="U34" s="118"/>
      <c r="V34" s="118"/>
      <c r="W34" s="118"/>
      <c r="X34" s="118"/>
      <c r="Y34" s="118"/>
      <c r="Z34" s="118"/>
      <c r="AA34" s="115"/>
      <c r="AB34" s="118"/>
      <c r="AC34" s="118"/>
      <c r="AD34" s="118"/>
      <c r="AE34" s="118"/>
      <c r="AF34" s="118"/>
      <c r="AG34" s="118"/>
      <c r="AH34" s="115"/>
      <c r="AI34" s="118"/>
      <c r="AJ34" s="118"/>
      <c r="AK34" s="118"/>
      <c r="AL34" s="118"/>
      <c r="AM34" s="115"/>
      <c r="AN34" s="118"/>
      <c r="AO34" s="115"/>
      <c r="AP34" s="118"/>
      <c r="AQ34" s="118"/>
      <c r="AR34" s="118"/>
      <c r="AS34" s="118"/>
      <c r="AT34" s="118"/>
      <c r="AU34" s="118"/>
      <c r="AV34" s="115"/>
      <c r="AW34" s="131"/>
      <c r="AX34" s="116"/>
      <c r="AY34" s="116"/>
      <c r="AZ34" s="116"/>
      <c r="BA34" s="116"/>
      <c r="BB34" s="116"/>
      <c r="BC34" s="115"/>
      <c r="BD34" s="116"/>
      <c r="BE34" s="116"/>
      <c r="BF34" s="116"/>
      <c r="BG34" s="116"/>
      <c r="BH34" s="116"/>
      <c r="BI34" s="150"/>
      <c r="BJ34" s="165"/>
      <c r="BK34" s="153"/>
      <c r="BL34" s="118"/>
      <c r="BM34" s="118"/>
      <c r="BN34" s="118"/>
      <c r="BO34" s="118"/>
      <c r="BP34" s="118"/>
      <c r="BQ34" s="115"/>
      <c r="BR34" s="118"/>
      <c r="BS34" s="118"/>
      <c r="BT34" s="118"/>
      <c r="BU34" s="118"/>
      <c r="BV34" s="118"/>
      <c r="BW34" s="118"/>
      <c r="BX34" s="115"/>
      <c r="BY34" s="118"/>
      <c r="BZ34" s="118"/>
      <c r="CA34" s="118"/>
      <c r="CB34" s="118"/>
      <c r="CC34" s="94"/>
      <c r="CD34" s="94"/>
      <c r="CE34" s="115"/>
      <c r="CF34" s="94"/>
      <c r="CG34" s="94"/>
      <c r="CH34" s="118"/>
      <c r="CI34" s="119"/>
      <c r="CJ34" s="119"/>
      <c r="CK34" s="119"/>
      <c r="CL34" s="115"/>
      <c r="CM34" s="159"/>
      <c r="CN34" s="169"/>
    </row>
    <row r="35" spans="1:92" ht="18" customHeight="1" x14ac:dyDescent="0.25">
      <c r="A35" s="145">
        <v>30</v>
      </c>
      <c r="B35" s="146" t="s">
        <v>291</v>
      </c>
      <c r="C35" s="96"/>
      <c r="D35" s="96"/>
      <c r="E35" s="96"/>
      <c r="F35" s="115"/>
      <c r="G35" s="96"/>
      <c r="H35" s="96"/>
      <c r="I35" s="96"/>
      <c r="J35" s="115"/>
      <c r="K35" s="96"/>
      <c r="L35" s="96"/>
      <c r="M35" s="115"/>
      <c r="N35" s="96"/>
      <c r="O35" s="96"/>
      <c r="P35" s="96"/>
      <c r="Q35" s="96"/>
      <c r="R35" s="96"/>
      <c r="S35" s="96"/>
      <c r="T35" s="115"/>
      <c r="U35" s="96"/>
      <c r="V35" s="96"/>
      <c r="W35" s="96"/>
      <c r="X35" s="96"/>
      <c r="Y35" s="96"/>
      <c r="Z35" s="96"/>
      <c r="AA35" s="115"/>
      <c r="AB35" s="96"/>
      <c r="AC35" s="96"/>
      <c r="AD35" s="96"/>
      <c r="AE35" s="96"/>
      <c r="AF35" s="96"/>
      <c r="AG35" s="96"/>
      <c r="AH35" s="115"/>
      <c r="AI35" s="96"/>
      <c r="AJ35" s="96"/>
      <c r="AK35" s="96"/>
      <c r="AL35" s="96"/>
      <c r="AM35" s="115"/>
      <c r="AN35" s="96"/>
      <c r="AO35" s="115"/>
      <c r="AP35" s="118"/>
      <c r="AQ35" s="96"/>
      <c r="AR35" s="96"/>
      <c r="AS35" s="96"/>
      <c r="AT35" s="96"/>
      <c r="AU35" s="96"/>
      <c r="AV35" s="115"/>
      <c r="AW35" s="116"/>
      <c r="AX35" s="116"/>
      <c r="AY35" s="116"/>
      <c r="AZ35" s="116"/>
      <c r="BA35" s="96"/>
      <c r="BB35" s="96"/>
      <c r="BC35" s="115"/>
      <c r="BD35" s="96"/>
      <c r="BE35" s="96"/>
      <c r="BF35" s="131"/>
      <c r="BG35" s="131"/>
      <c r="BH35" s="96"/>
      <c r="BI35" s="151"/>
      <c r="BJ35" s="165"/>
      <c r="BK35" s="157"/>
      <c r="BL35" s="131"/>
      <c r="BM35" s="96"/>
      <c r="BN35" s="96"/>
      <c r="BO35" s="96"/>
      <c r="BP35" s="96"/>
      <c r="BQ35" s="115"/>
      <c r="BR35" s="96"/>
      <c r="BS35" s="96"/>
      <c r="BT35" s="96"/>
      <c r="BU35" s="96"/>
      <c r="BV35" s="96"/>
      <c r="BW35" s="96"/>
      <c r="BX35" s="115"/>
      <c r="BY35" s="96"/>
      <c r="BZ35" s="96"/>
      <c r="CA35" s="96"/>
      <c r="CB35" s="96"/>
      <c r="CC35" s="94"/>
      <c r="CD35" s="94"/>
      <c r="CE35" s="115"/>
      <c r="CF35" s="94"/>
      <c r="CG35" s="94"/>
      <c r="CH35" s="96"/>
      <c r="CI35" s="119"/>
      <c r="CJ35" s="119"/>
      <c r="CK35" s="119"/>
      <c r="CL35" s="115"/>
      <c r="CM35" s="159"/>
      <c r="CN35" s="169"/>
    </row>
    <row r="36" spans="1:92" ht="18" customHeight="1" x14ac:dyDescent="0.25">
      <c r="A36" s="145">
        <v>31</v>
      </c>
      <c r="B36" s="146" t="s">
        <v>292</v>
      </c>
      <c r="C36" s="96"/>
      <c r="D36" s="96"/>
      <c r="E36" s="96"/>
      <c r="F36" s="115"/>
      <c r="G36" s="96"/>
      <c r="H36" s="96"/>
      <c r="I36" s="96"/>
      <c r="J36" s="115"/>
      <c r="K36" s="96"/>
      <c r="L36" s="96"/>
      <c r="M36" s="115"/>
      <c r="N36" s="96"/>
      <c r="O36" s="96"/>
      <c r="P36" s="96"/>
      <c r="Q36" s="96"/>
      <c r="R36" s="96"/>
      <c r="S36" s="96"/>
      <c r="T36" s="115"/>
      <c r="U36" s="96"/>
      <c r="V36" s="96"/>
      <c r="W36" s="96"/>
      <c r="X36" s="96"/>
      <c r="Y36" s="96"/>
      <c r="Z36" s="96"/>
      <c r="AA36" s="115"/>
      <c r="AB36" s="96"/>
      <c r="AC36" s="96"/>
      <c r="AD36" s="96"/>
      <c r="AE36" s="96"/>
      <c r="AF36" s="96"/>
      <c r="AG36" s="96"/>
      <c r="AH36" s="115"/>
      <c r="AI36" s="96"/>
      <c r="AJ36" s="96"/>
      <c r="AK36" s="96"/>
      <c r="AL36" s="96"/>
      <c r="AM36" s="115"/>
      <c r="AN36" s="96"/>
      <c r="AO36" s="115"/>
      <c r="AP36" s="118"/>
      <c r="AQ36" s="96"/>
      <c r="AR36" s="96"/>
      <c r="AS36" s="96"/>
      <c r="AT36" s="96"/>
      <c r="AU36" s="96"/>
      <c r="AV36" s="115"/>
      <c r="AW36" s="96"/>
      <c r="AX36" s="96"/>
      <c r="AY36" s="96"/>
      <c r="AZ36" s="116"/>
      <c r="BA36" s="116"/>
      <c r="BB36" s="116"/>
      <c r="BC36" s="115"/>
      <c r="BD36" s="96"/>
      <c r="BE36" s="96"/>
      <c r="BF36" s="96"/>
      <c r="BG36" s="96"/>
      <c r="BH36" s="131"/>
      <c r="BI36" s="152"/>
      <c r="BJ36" s="165"/>
      <c r="BK36" s="156"/>
      <c r="BL36" s="96"/>
      <c r="BM36" s="131"/>
      <c r="BN36" s="131"/>
      <c r="BO36" s="96"/>
      <c r="BP36" s="96"/>
      <c r="BQ36" s="115"/>
      <c r="BR36" s="96"/>
      <c r="BS36" s="96"/>
      <c r="BT36" s="96"/>
      <c r="BU36" s="96"/>
      <c r="BV36" s="96"/>
      <c r="BW36" s="96"/>
      <c r="BX36" s="115"/>
      <c r="BY36" s="96"/>
      <c r="BZ36" s="96"/>
      <c r="CA36" s="96"/>
      <c r="CB36" s="96"/>
      <c r="CC36" s="94"/>
      <c r="CD36" s="94"/>
      <c r="CE36" s="115"/>
      <c r="CF36" s="94"/>
      <c r="CG36" s="94"/>
      <c r="CH36" s="96"/>
      <c r="CI36" s="119"/>
      <c r="CJ36" s="119"/>
      <c r="CK36" s="119"/>
      <c r="CL36" s="115"/>
      <c r="CM36" s="159"/>
      <c r="CN36" s="169"/>
    </row>
    <row r="37" spans="1:92" ht="18" customHeight="1" x14ac:dyDescent="0.25">
      <c r="A37" s="145">
        <v>32</v>
      </c>
      <c r="B37" s="146" t="s">
        <v>295</v>
      </c>
      <c r="C37" s="96"/>
      <c r="D37" s="96"/>
      <c r="E37" s="96"/>
      <c r="F37" s="115"/>
      <c r="G37" s="96"/>
      <c r="H37" s="96"/>
      <c r="I37" s="96"/>
      <c r="J37" s="115"/>
      <c r="K37" s="96"/>
      <c r="L37" s="96"/>
      <c r="M37" s="115"/>
      <c r="N37" s="96"/>
      <c r="O37" s="96"/>
      <c r="P37" s="96"/>
      <c r="Q37" s="96"/>
      <c r="R37" s="96"/>
      <c r="S37" s="96"/>
      <c r="T37" s="115"/>
      <c r="U37" s="96"/>
      <c r="V37" s="96"/>
      <c r="W37" s="96"/>
      <c r="X37" s="96"/>
      <c r="Y37" s="96"/>
      <c r="Z37" s="96"/>
      <c r="AA37" s="115"/>
      <c r="AB37" s="96"/>
      <c r="AC37" s="96"/>
      <c r="AD37" s="96"/>
      <c r="AE37" s="96"/>
      <c r="AF37" s="96"/>
      <c r="AG37" s="96"/>
      <c r="AH37" s="115"/>
      <c r="AI37" s="96"/>
      <c r="AJ37" s="96"/>
      <c r="AK37" s="96"/>
      <c r="AL37" s="96"/>
      <c r="AM37" s="115"/>
      <c r="AN37" s="96"/>
      <c r="AO37" s="115"/>
      <c r="AP37" s="118"/>
      <c r="AQ37" s="96"/>
      <c r="AR37" s="96"/>
      <c r="AS37" s="96"/>
      <c r="AT37" s="96"/>
      <c r="AU37" s="96"/>
      <c r="AV37" s="115"/>
      <c r="AW37" s="96"/>
      <c r="AX37" s="96"/>
      <c r="AY37" s="96"/>
      <c r="AZ37" s="96"/>
      <c r="BA37" s="96"/>
      <c r="BB37" s="96"/>
      <c r="BC37" s="115"/>
      <c r="BD37" s="96"/>
      <c r="BE37" s="96"/>
      <c r="BF37" s="96"/>
      <c r="BG37" s="96"/>
      <c r="BH37" s="96"/>
      <c r="BI37" s="151"/>
      <c r="BJ37" s="165"/>
      <c r="BK37" s="157"/>
      <c r="BL37" s="131"/>
      <c r="BM37" s="131"/>
      <c r="BN37" s="116"/>
      <c r="BO37" s="116"/>
      <c r="BP37" s="116"/>
      <c r="BQ37" s="115"/>
      <c r="BR37" s="96"/>
      <c r="BS37" s="96"/>
      <c r="BT37" s="96"/>
      <c r="BU37" s="96"/>
      <c r="BV37" s="96"/>
      <c r="BW37" s="96"/>
      <c r="BX37" s="115"/>
      <c r="BY37" s="96"/>
      <c r="BZ37" s="96"/>
      <c r="CA37" s="96"/>
      <c r="CB37" s="96"/>
      <c r="CC37" s="94"/>
      <c r="CD37" s="94"/>
      <c r="CE37" s="115"/>
      <c r="CF37" s="94"/>
      <c r="CG37" s="94"/>
      <c r="CH37" s="96"/>
      <c r="CI37" s="119"/>
      <c r="CJ37" s="119"/>
      <c r="CK37" s="119"/>
      <c r="CL37" s="115"/>
      <c r="CM37" s="159"/>
      <c r="CN37" s="169"/>
    </row>
    <row r="38" spans="1:92" ht="18" customHeight="1" x14ac:dyDescent="0.25">
      <c r="A38" s="124">
        <v>33</v>
      </c>
      <c r="B38" s="96" t="s">
        <v>296</v>
      </c>
      <c r="C38" s="96"/>
      <c r="D38" s="96"/>
      <c r="E38" s="96"/>
      <c r="F38" s="115"/>
      <c r="G38" s="96"/>
      <c r="H38" s="96"/>
      <c r="I38" s="96"/>
      <c r="J38" s="115"/>
      <c r="K38" s="96"/>
      <c r="L38" s="96"/>
      <c r="M38" s="115"/>
      <c r="N38" s="96"/>
      <c r="O38" s="96"/>
      <c r="P38" s="96"/>
      <c r="Q38" s="96"/>
      <c r="R38" s="96"/>
      <c r="S38" s="96"/>
      <c r="T38" s="115"/>
      <c r="U38" s="96"/>
      <c r="V38" s="96"/>
      <c r="W38" s="96"/>
      <c r="X38" s="96"/>
      <c r="Y38" s="96"/>
      <c r="Z38" s="96"/>
      <c r="AA38" s="115"/>
      <c r="AB38" s="96"/>
      <c r="AC38" s="96"/>
      <c r="AD38" s="96"/>
      <c r="AE38" s="96"/>
      <c r="AF38" s="96"/>
      <c r="AG38" s="96"/>
      <c r="AH38" s="115"/>
      <c r="AI38" s="96"/>
      <c r="AJ38" s="96"/>
      <c r="AK38" s="96"/>
      <c r="AL38" s="96"/>
      <c r="AM38" s="115"/>
      <c r="AN38" s="96"/>
      <c r="AO38" s="115"/>
      <c r="AP38" s="118"/>
      <c r="AQ38" s="96"/>
      <c r="AR38" s="96"/>
      <c r="AS38" s="96"/>
      <c r="AT38" s="96"/>
      <c r="AU38" s="96"/>
      <c r="AV38" s="115"/>
      <c r="AW38" s="96"/>
      <c r="AX38" s="96"/>
      <c r="AY38" s="96"/>
      <c r="AZ38" s="96"/>
      <c r="BA38" s="96"/>
      <c r="BB38" s="96"/>
      <c r="BC38" s="115"/>
      <c r="BD38" s="96"/>
      <c r="BE38" s="96"/>
      <c r="BF38" s="96"/>
      <c r="BG38" s="96"/>
      <c r="BH38" s="96"/>
      <c r="BI38" s="151"/>
      <c r="BJ38" s="165"/>
      <c r="BK38" s="156"/>
      <c r="BL38" s="96"/>
      <c r="BM38" s="96"/>
      <c r="BN38" s="131"/>
      <c r="BO38" s="131"/>
      <c r="BP38" s="131"/>
      <c r="BQ38" s="115"/>
      <c r="BR38" s="116"/>
      <c r="BS38" s="116"/>
      <c r="BT38" s="116"/>
      <c r="BU38" s="116"/>
      <c r="BV38" s="96"/>
      <c r="BW38" s="96"/>
      <c r="BX38" s="115"/>
      <c r="BY38" s="96"/>
      <c r="BZ38" s="96"/>
      <c r="CA38" s="96"/>
      <c r="CB38" s="96"/>
      <c r="CC38" s="94"/>
      <c r="CD38" s="94"/>
      <c r="CE38" s="115"/>
      <c r="CF38" s="94"/>
      <c r="CG38" s="94"/>
      <c r="CH38" s="96"/>
      <c r="CI38" s="119"/>
      <c r="CJ38" s="119"/>
      <c r="CK38" s="119"/>
      <c r="CL38" s="115"/>
      <c r="CM38" s="159"/>
      <c r="CN38" s="169"/>
    </row>
    <row r="39" spans="1:92" ht="18" customHeight="1" x14ac:dyDescent="0.25">
      <c r="A39" s="124">
        <v>34</v>
      </c>
      <c r="B39" s="96" t="s">
        <v>294</v>
      </c>
      <c r="C39" s="96"/>
      <c r="D39" s="96"/>
      <c r="E39" s="96"/>
      <c r="F39" s="115"/>
      <c r="G39" s="96"/>
      <c r="H39" s="96"/>
      <c r="I39" s="96"/>
      <c r="J39" s="115"/>
      <c r="K39" s="96"/>
      <c r="L39" s="96"/>
      <c r="M39" s="115"/>
      <c r="N39" s="96"/>
      <c r="O39" s="96"/>
      <c r="P39" s="96"/>
      <c r="Q39" s="96"/>
      <c r="R39" s="96"/>
      <c r="S39" s="96"/>
      <c r="T39" s="115"/>
      <c r="U39" s="96"/>
      <c r="V39" s="96"/>
      <c r="W39" s="96"/>
      <c r="X39" s="96"/>
      <c r="Y39" s="96"/>
      <c r="Z39" s="96"/>
      <c r="AA39" s="115"/>
      <c r="AB39" s="96"/>
      <c r="AC39" s="96"/>
      <c r="AD39" s="96"/>
      <c r="AE39" s="96"/>
      <c r="AF39" s="96"/>
      <c r="AG39" s="96"/>
      <c r="AH39" s="115"/>
      <c r="AI39" s="96"/>
      <c r="AJ39" s="96"/>
      <c r="AK39" s="96"/>
      <c r="AL39" s="96"/>
      <c r="AM39" s="115"/>
      <c r="AN39" s="96"/>
      <c r="AO39" s="115"/>
      <c r="AP39" s="118"/>
      <c r="AQ39" s="96"/>
      <c r="AR39" s="96"/>
      <c r="AS39" s="96"/>
      <c r="AT39" s="96"/>
      <c r="AU39" s="96"/>
      <c r="AV39" s="115"/>
      <c r="AW39" s="96"/>
      <c r="AX39" s="96"/>
      <c r="AY39" s="96"/>
      <c r="AZ39" s="96"/>
      <c r="BA39" s="96"/>
      <c r="BB39" s="96"/>
      <c r="BC39" s="115"/>
      <c r="BD39" s="96"/>
      <c r="BE39" s="96"/>
      <c r="BF39" s="96"/>
      <c r="BG39" s="96"/>
      <c r="BH39" s="96"/>
      <c r="BI39" s="151"/>
      <c r="BJ39" s="165"/>
      <c r="BK39" s="156"/>
      <c r="BL39" s="96"/>
      <c r="BM39" s="96"/>
      <c r="BN39" s="96"/>
      <c r="BO39" s="96"/>
      <c r="BP39" s="96"/>
      <c r="BQ39" s="115"/>
      <c r="BR39" s="96"/>
      <c r="BS39" s="96"/>
      <c r="BT39" s="131"/>
      <c r="BU39" s="131"/>
      <c r="BV39" s="116"/>
      <c r="BW39" s="116"/>
      <c r="BX39" s="115"/>
      <c r="BY39" s="96"/>
      <c r="BZ39" s="96"/>
      <c r="CA39" s="96"/>
      <c r="CB39" s="96"/>
      <c r="CC39" s="94"/>
      <c r="CD39" s="94"/>
      <c r="CE39" s="115"/>
      <c r="CF39" s="94"/>
      <c r="CG39" s="94"/>
      <c r="CH39" s="96"/>
      <c r="CI39" s="119"/>
      <c r="CJ39" s="119"/>
      <c r="CK39" s="119"/>
      <c r="CL39" s="115"/>
      <c r="CM39" s="159"/>
      <c r="CN39" s="169"/>
    </row>
    <row r="40" spans="1:92" ht="18" customHeight="1" x14ac:dyDescent="0.25">
      <c r="A40" s="124">
        <v>35</v>
      </c>
      <c r="B40" s="96" t="s">
        <v>301</v>
      </c>
      <c r="C40" s="96"/>
      <c r="D40" s="96"/>
      <c r="E40" s="96"/>
      <c r="F40" s="115"/>
      <c r="G40" s="96"/>
      <c r="H40" s="96"/>
      <c r="I40" s="96"/>
      <c r="J40" s="115"/>
      <c r="K40" s="96"/>
      <c r="L40" s="96"/>
      <c r="M40" s="115"/>
      <c r="N40" s="96"/>
      <c r="O40" s="96"/>
      <c r="P40" s="96"/>
      <c r="Q40" s="96"/>
      <c r="R40" s="96"/>
      <c r="S40" s="96"/>
      <c r="T40" s="115"/>
      <c r="U40" s="96"/>
      <c r="V40" s="96"/>
      <c r="W40" s="96"/>
      <c r="X40" s="96"/>
      <c r="Y40" s="96"/>
      <c r="Z40" s="96"/>
      <c r="AA40" s="115"/>
      <c r="AB40" s="96"/>
      <c r="AC40" s="96"/>
      <c r="AD40" s="96"/>
      <c r="AE40" s="96"/>
      <c r="AF40" s="96"/>
      <c r="AG40" s="96"/>
      <c r="AH40" s="115"/>
      <c r="AI40" s="96"/>
      <c r="AJ40" s="96"/>
      <c r="AK40" s="96"/>
      <c r="AL40" s="96"/>
      <c r="AM40" s="115"/>
      <c r="AN40" s="96"/>
      <c r="AO40" s="115"/>
      <c r="AP40" s="118"/>
      <c r="AQ40" s="96"/>
      <c r="AR40" s="96"/>
      <c r="AS40" s="96"/>
      <c r="AT40" s="96"/>
      <c r="AU40" s="96"/>
      <c r="AV40" s="115"/>
      <c r="AW40" s="96"/>
      <c r="AX40" s="96"/>
      <c r="AY40" s="96"/>
      <c r="AZ40" s="96"/>
      <c r="BA40" s="96"/>
      <c r="BB40" s="96"/>
      <c r="BC40" s="115"/>
      <c r="BD40" s="96"/>
      <c r="BE40" s="96"/>
      <c r="BF40" s="96"/>
      <c r="BG40" s="96"/>
      <c r="BH40" s="96"/>
      <c r="BI40" s="151"/>
      <c r="BJ40" s="165"/>
      <c r="BK40" s="156"/>
      <c r="BL40" s="96"/>
      <c r="BM40" s="96"/>
      <c r="BN40" s="96"/>
      <c r="BO40" s="96"/>
      <c r="BP40" s="96"/>
      <c r="BQ40" s="115"/>
      <c r="BR40" s="96"/>
      <c r="BS40" s="96"/>
      <c r="BT40" s="131"/>
      <c r="BU40" s="131"/>
      <c r="BV40" s="131"/>
      <c r="BW40" s="131"/>
      <c r="BX40" s="115"/>
      <c r="BY40" s="116"/>
      <c r="BZ40" s="116"/>
      <c r="CA40" s="116"/>
      <c r="CB40" s="116"/>
      <c r="CC40" s="116"/>
      <c r="CD40" s="116"/>
      <c r="CE40" s="115"/>
      <c r="CF40" s="94"/>
      <c r="CG40" s="94"/>
      <c r="CH40" s="96"/>
      <c r="CI40" s="119"/>
      <c r="CJ40" s="119"/>
      <c r="CK40" s="119"/>
      <c r="CL40" s="115"/>
      <c r="CM40" s="159"/>
      <c r="CN40" s="169"/>
    </row>
    <row r="41" spans="1:92" ht="18" customHeight="1" x14ac:dyDescent="0.25">
      <c r="A41" s="124">
        <v>36</v>
      </c>
      <c r="B41" s="96" t="s">
        <v>302</v>
      </c>
      <c r="C41" s="96"/>
      <c r="D41" s="96"/>
      <c r="E41" s="96"/>
      <c r="F41" s="115"/>
      <c r="G41" s="96"/>
      <c r="H41" s="96"/>
      <c r="I41" s="96"/>
      <c r="J41" s="115"/>
      <c r="K41" s="96"/>
      <c r="L41" s="96"/>
      <c r="M41" s="115"/>
      <c r="N41" s="96"/>
      <c r="O41" s="96"/>
      <c r="P41" s="96"/>
      <c r="Q41" s="96"/>
      <c r="R41" s="96"/>
      <c r="S41" s="96"/>
      <c r="T41" s="115"/>
      <c r="U41" s="96"/>
      <c r="V41" s="96"/>
      <c r="W41" s="96"/>
      <c r="X41" s="96"/>
      <c r="Y41" s="96"/>
      <c r="Z41" s="96"/>
      <c r="AA41" s="115"/>
      <c r="AB41" s="96"/>
      <c r="AC41" s="96"/>
      <c r="AD41" s="96"/>
      <c r="AE41" s="96"/>
      <c r="AF41" s="96"/>
      <c r="AG41" s="96"/>
      <c r="AH41" s="115"/>
      <c r="AI41" s="96"/>
      <c r="AJ41" s="96"/>
      <c r="AK41" s="96"/>
      <c r="AL41" s="96"/>
      <c r="AM41" s="115"/>
      <c r="AN41" s="96"/>
      <c r="AO41" s="115"/>
      <c r="AP41" s="118"/>
      <c r="AQ41" s="96"/>
      <c r="AR41" s="96"/>
      <c r="AS41" s="96"/>
      <c r="AT41" s="96"/>
      <c r="AU41" s="96"/>
      <c r="AV41" s="115"/>
      <c r="AW41" s="96"/>
      <c r="AX41" s="96"/>
      <c r="AY41" s="96"/>
      <c r="AZ41" s="96"/>
      <c r="BA41" s="96"/>
      <c r="BB41" s="96"/>
      <c r="BC41" s="115"/>
      <c r="BD41" s="96"/>
      <c r="BE41" s="96"/>
      <c r="BF41" s="96"/>
      <c r="BG41" s="96"/>
      <c r="BH41" s="96"/>
      <c r="BI41" s="151"/>
      <c r="BJ41" s="165"/>
      <c r="BK41" s="156"/>
      <c r="BL41" s="96"/>
      <c r="BM41" s="96"/>
      <c r="BN41" s="96"/>
      <c r="BO41" s="96"/>
      <c r="BP41" s="96"/>
      <c r="BQ41" s="115"/>
      <c r="BR41" s="96"/>
      <c r="BS41" s="118"/>
      <c r="BT41" s="118"/>
      <c r="BU41" s="118"/>
      <c r="BV41" s="118"/>
      <c r="BW41" s="118"/>
      <c r="BX41" s="115"/>
      <c r="BY41" s="131"/>
      <c r="BZ41" s="116"/>
      <c r="CA41" s="116"/>
      <c r="CB41" s="116"/>
      <c r="CC41" s="116"/>
      <c r="CD41" s="116"/>
      <c r="CE41" s="115"/>
      <c r="CF41" s="94"/>
      <c r="CG41" s="94"/>
      <c r="CH41" s="96"/>
      <c r="CI41" s="119"/>
      <c r="CJ41" s="119"/>
      <c r="CK41" s="119"/>
      <c r="CL41" s="115"/>
      <c r="CM41" s="159"/>
      <c r="CN41" s="169"/>
    </row>
    <row r="42" spans="1:92" ht="18" customHeight="1" x14ac:dyDescent="0.25">
      <c r="A42" s="124">
        <v>37</v>
      </c>
      <c r="B42" s="96" t="s">
        <v>303</v>
      </c>
      <c r="C42" s="96"/>
      <c r="D42" s="96"/>
      <c r="E42" s="96"/>
      <c r="F42" s="115"/>
      <c r="G42" s="96"/>
      <c r="H42" s="96"/>
      <c r="I42" s="96"/>
      <c r="J42" s="115"/>
      <c r="K42" s="96"/>
      <c r="L42" s="96"/>
      <c r="M42" s="115"/>
      <c r="N42" s="96"/>
      <c r="O42" s="96"/>
      <c r="P42" s="96"/>
      <c r="Q42" s="96"/>
      <c r="R42" s="96"/>
      <c r="S42" s="96"/>
      <c r="T42" s="115"/>
      <c r="U42" s="96"/>
      <c r="V42" s="96"/>
      <c r="W42" s="96"/>
      <c r="X42" s="96"/>
      <c r="Y42" s="96"/>
      <c r="Z42" s="96"/>
      <c r="AA42" s="115"/>
      <c r="AB42" s="96"/>
      <c r="AC42" s="96"/>
      <c r="AD42" s="96"/>
      <c r="AE42" s="96"/>
      <c r="AF42" s="96"/>
      <c r="AG42" s="96"/>
      <c r="AH42" s="115"/>
      <c r="AI42" s="96"/>
      <c r="AJ42" s="96"/>
      <c r="AK42" s="96"/>
      <c r="AL42" s="96"/>
      <c r="AM42" s="115"/>
      <c r="AN42" s="96"/>
      <c r="AO42" s="115"/>
      <c r="AP42" s="118"/>
      <c r="AQ42" s="96"/>
      <c r="AR42" s="96"/>
      <c r="AS42" s="96"/>
      <c r="AT42" s="96"/>
      <c r="AU42" s="96"/>
      <c r="AV42" s="115"/>
      <c r="AW42" s="96"/>
      <c r="AX42" s="96"/>
      <c r="AY42" s="96"/>
      <c r="AZ42" s="96"/>
      <c r="BA42" s="96"/>
      <c r="BB42" s="96"/>
      <c r="BC42" s="115"/>
      <c r="BD42" s="96"/>
      <c r="BE42" s="96"/>
      <c r="BF42" s="96"/>
      <c r="BG42" s="96"/>
      <c r="BH42" s="96"/>
      <c r="BI42" s="151"/>
      <c r="BJ42" s="165"/>
      <c r="BK42" s="156"/>
      <c r="BL42" s="96"/>
      <c r="BM42" s="96"/>
      <c r="BN42" s="96"/>
      <c r="BO42" s="96"/>
      <c r="BP42" s="96"/>
      <c r="BQ42" s="115"/>
      <c r="BR42" s="96"/>
      <c r="BS42" s="118"/>
      <c r="BT42" s="118"/>
      <c r="BU42" s="118"/>
      <c r="BV42" s="118"/>
      <c r="BW42" s="118"/>
      <c r="BX42" s="115"/>
      <c r="BY42" s="132"/>
      <c r="BZ42" s="118"/>
      <c r="CA42" s="118"/>
      <c r="CB42" s="116"/>
      <c r="CC42" s="116"/>
      <c r="CD42" s="116"/>
      <c r="CE42" s="115"/>
      <c r="CF42" s="117"/>
      <c r="CG42" s="117"/>
      <c r="CH42" s="96"/>
      <c r="CI42" s="119"/>
      <c r="CJ42" s="119"/>
      <c r="CK42" s="119"/>
      <c r="CL42" s="115"/>
      <c r="CM42" s="159"/>
      <c r="CN42" s="169"/>
    </row>
    <row r="43" spans="1:92" ht="18" customHeight="1" thickBot="1" x14ac:dyDescent="0.3">
      <c r="A43" s="124">
        <v>38</v>
      </c>
      <c r="B43" s="96" t="s">
        <v>299</v>
      </c>
      <c r="C43" s="96"/>
      <c r="D43" s="96"/>
      <c r="E43" s="96"/>
      <c r="F43" s="115"/>
      <c r="G43" s="96"/>
      <c r="H43" s="96"/>
      <c r="I43" s="96"/>
      <c r="J43" s="115"/>
      <c r="K43" s="96"/>
      <c r="L43" s="96"/>
      <c r="M43" s="115"/>
      <c r="N43" s="96"/>
      <c r="O43" s="96"/>
      <c r="P43" s="96"/>
      <c r="Q43" s="96"/>
      <c r="R43" s="96"/>
      <c r="S43" s="96"/>
      <c r="T43" s="115"/>
      <c r="U43" s="96"/>
      <c r="V43" s="96"/>
      <c r="W43" s="96"/>
      <c r="X43" s="96"/>
      <c r="Y43" s="96"/>
      <c r="Z43" s="96"/>
      <c r="AA43" s="115"/>
      <c r="AB43" s="96"/>
      <c r="AC43" s="96"/>
      <c r="AD43" s="96"/>
      <c r="AE43" s="96"/>
      <c r="AF43" s="96"/>
      <c r="AG43" s="96"/>
      <c r="AH43" s="115"/>
      <c r="AI43" s="96"/>
      <c r="AJ43" s="96"/>
      <c r="AK43" s="96"/>
      <c r="AL43" s="96"/>
      <c r="AM43" s="115"/>
      <c r="AN43" s="96"/>
      <c r="AO43" s="115"/>
      <c r="AP43" s="118"/>
      <c r="AQ43" s="96"/>
      <c r="AR43" s="96"/>
      <c r="AS43" s="96"/>
      <c r="AT43" s="96"/>
      <c r="AU43" s="96"/>
      <c r="AV43" s="115"/>
      <c r="AW43" s="96"/>
      <c r="AX43" s="96"/>
      <c r="AY43" s="96"/>
      <c r="AZ43" s="96"/>
      <c r="BA43" s="96"/>
      <c r="BB43" s="96"/>
      <c r="BC43" s="115"/>
      <c r="BD43" s="96"/>
      <c r="BE43" s="96"/>
      <c r="BF43" s="96"/>
      <c r="BG43" s="96"/>
      <c r="BH43" s="96"/>
      <c r="BI43" s="151"/>
      <c r="BJ43" s="166"/>
      <c r="BK43" s="156"/>
      <c r="BL43" s="96"/>
      <c r="BM43" s="96"/>
      <c r="BN43" s="96"/>
      <c r="BO43" s="96"/>
      <c r="BP43" s="96"/>
      <c r="BQ43" s="115"/>
      <c r="BR43" s="96"/>
      <c r="BS43" s="96"/>
      <c r="BT43" s="96"/>
      <c r="BU43" s="96"/>
      <c r="BV43" s="96"/>
      <c r="BW43" s="96"/>
      <c r="BX43" s="115"/>
      <c r="BY43" s="96"/>
      <c r="BZ43" s="96"/>
      <c r="CA43" s="96"/>
      <c r="CB43" s="96"/>
      <c r="CC43" s="131"/>
      <c r="CD43" s="131"/>
      <c r="CE43" s="115"/>
      <c r="CF43" s="131"/>
      <c r="CG43" s="131"/>
      <c r="CH43" s="117"/>
      <c r="CI43" s="117"/>
      <c r="CJ43" s="117"/>
      <c r="CK43" s="117"/>
      <c r="CL43" s="115"/>
      <c r="CM43" s="160"/>
      <c r="CN43" s="170"/>
    </row>
    <row r="44" spans="1:92" ht="18" customHeight="1" x14ac:dyDescent="0.25">
      <c r="A44" s="226"/>
      <c r="B44" s="227"/>
      <c r="C44" s="227"/>
      <c r="D44" s="227"/>
      <c r="E44" s="227"/>
      <c r="F44" s="227"/>
      <c r="G44" s="227"/>
      <c r="H44" s="227"/>
      <c r="I44" s="227"/>
      <c r="J44" s="227"/>
      <c r="K44" s="227"/>
      <c r="L44" s="227"/>
      <c r="M44" s="227"/>
      <c r="N44" s="227"/>
      <c r="O44" s="227"/>
      <c r="P44" s="227"/>
      <c r="Q44" s="227"/>
      <c r="R44" s="227"/>
      <c r="S44" s="227"/>
      <c r="T44" s="227"/>
      <c r="U44" s="227"/>
      <c r="V44" s="227"/>
      <c r="W44" s="227"/>
      <c r="X44" s="227"/>
      <c r="Y44" s="227"/>
      <c r="Z44" s="227"/>
      <c r="AA44" s="227"/>
      <c r="AB44" s="227"/>
      <c r="AC44" s="227"/>
      <c r="AD44" s="227"/>
      <c r="AE44" s="227"/>
      <c r="AF44" s="227"/>
      <c r="AG44" s="227"/>
      <c r="AH44" s="227"/>
      <c r="AI44" s="227"/>
      <c r="AJ44" s="227"/>
      <c r="AK44" s="227"/>
      <c r="AL44" s="227"/>
      <c r="AM44" s="227"/>
      <c r="AN44" s="227"/>
      <c r="AO44" s="227"/>
      <c r="AP44" s="227"/>
      <c r="AQ44" s="227"/>
      <c r="AR44" s="227"/>
      <c r="AS44" s="227"/>
      <c r="AT44" s="227"/>
      <c r="AU44" s="227"/>
      <c r="AV44" s="227"/>
      <c r="AW44" s="227"/>
      <c r="AX44" s="227"/>
      <c r="AY44" s="227"/>
      <c r="AZ44" s="228"/>
      <c r="BA44" s="228"/>
      <c r="BB44" s="228"/>
      <c r="BC44" s="228"/>
      <c r="BD44" s="228"/>
      <c r="BE44" s="228"/>
      <c r="BF44" s="228"/>
      <c r="BG44" s="228"/>
      <c r="BH44" s="228"/>
      <c r="BI44" s="228"/>
      <c r="BJ44" s="228"/>
      <c r="BK44" s="228"/>
      <c r="BL44" s="228"/>
      <c r="BM44" s="228"/>
      <c r="BN44" s="228"/>
      <c r="BO44" s="228"/>
      <c r="BP44" s="228"/>
      <c r="BQ44" s="227"/>
      <c r="BR44" s="227"/>
      <c r="BS44" s="227"/>
      <c r="BT44" s="227"/>
      <c r="BU44" s="227"/>
      <c r="BV44" s="227"/>
      <c r="BW44" s="227"/>
      <c r="BX44" s="227"/>
      <c r="BY44" s="227"/>
      <c r="BZ44" s="227"/>
      <c r="CA44" s="227"/>
      <c r="CB44" s="227"/>
      <c r="CC44" s="227"/>
      <c r="CD44" s="227"/>
      <c r="CE44" s="227"/>
      <c r="CF44" s="227"/>
      <c r="CG44" s="227"/>
      <c r="CH44" s="227"/>
      <c r="CI44" s="227"/>
      <c r="CJ44" s="227"/>
      <c r="CK44" s="227"/>
      <c r="CL44" s="227"/>
      <c r="CM44" s="227"/>
      <c r="CN44" s="229"/>
    </row>
    <row r="45" spans="1:92" ht="18" customHeight="1" x14ac:dyDescent="0.25">
      <c r="A45" s="191" t="s">
        <v>269</v>
      </c>
      <c r="B45" s="191" t="s">
        <v>312</v>
      </c>
      <c r="C45" s="224" t="s">
        <v>318</v>
      </c>
      <c r="D45" s="225"/>
      <c r="E45" s="225"/>
      <c r="F45" s="225"/>
      <c r="G45" s="225"/>
      <c r="H45" s="225"/>
      <c r="I45" s="225"/>
      <c r="J45" s="225"/>
      <c r="K45" s="225"/>
      <c r="L45" s="225"/>
      <c r="M45" s="225"/>
      <c r="N45" s="225"/>
      <c r="O45" s="225"/>
      <c r="P45" s="225"/>
      <c r="Q45" s="225"/>
      <c r="R45" s="225"/>
      <c r="S45" s="225"/>
      <c r="T45" s="225"/>
      <c r="U45" s="225"/>
      <c r="V45" s="225"/>
      <c r="W45" s="225"/>
      <c r="X45" s="225"/>
      <c r="Y45" s="225"/>
      <c r="Z45" s="225"/>
      <c r="AA45" s="225"/>
      <c r="AB45" s="225"/>
      <c r="AC45" s="225"/>
      <c r="AD45" s="225"/>
      <c r="AE45" s="225"/>
      <c r="AF45" s="225"/>
      <c r="AG45" s="225"/>
      <c r="AH45" s="224" t="s">
        <v>319</v>
      </c>
      <c r="AI45" s="225"/>
      <c r="AJ45" s="225"/>
      <c r="AK45" s="225"/>
      <c r="AL45" s="225"/>
      <c r="AM45" s="225"/>
      <c r="AN45" s="225"/>
      <c r="AO45" s="225"/>
      <c r="AP45" s="225"/>
      <c r="AQ45" s="225"/>
      <c r="AR45" s="225"/>
      <c r="AS45" s="225"/>
      <c r="AT45" s="225"/>
      <c r="AU45" s="225"/>
      <c r="AV45" s="225"/>
      <c r="AW45" s="225"/>
      <c r="AX45" s="225"/>
      <c r="AY45" s="225"/>
      <c r="AZ45" s="225"/>
      <c r="BA45" s="225"/>
      <c r="BB45" s="225"/>
      <c r="BC45" s="225"/>
      <c r="BD45" s="225"/>
      <c r="BE45" s="225"/>
      <c r="BF45" s="225"/>
      <c r="BG45" s="225"/>
      <c r="BH45" s="225"/>
      <c r="BI45" s="225"/>
      <c r="BJ45" s="225"/>
      <c r="BK45" s="225"/>
      <c r="BQ45" s="111"/>
      <c r="BX45" s="111"/>
      <c r="CE45" s="111"/>
      <c r="CL45" s="111"/>
    </row>
    <row r="46" spans="1:92" ht="18" customHeight="1" thickBot="1" x14ac:dyDescent="0.3">
      <c r="A46" s="191"/>
      <c r="B46" s="191"/>
      <c r="C46" s="219" t="s">
        <v>164</v>
      </c>
      <c r="D46" s="222"/>
      <c r="E46" s="222"/>
      <c r="F46" s="222"/>
      <c r="G46" s="222"/>
      <c r="H46" s="222"/>
      <c r="I46" s="223"/>
      <c r="J46" s="221" t="s">
        <v>165</v>
      </c>
      <c r="K46" s="222"/>
      <c r="L46" s="222"/>
      <c r="M46" s="222"/>
      <c r="N46" s="222"/>
      <c r="O46" s="222"/>
      <c r="P46" s="223"/>
      <c r="Q46" s="221" t="s">
        <v>166</v>
      </c>
      <c r="R46" s="222"/>
      <c r="S46" s="222"/>
      <c r="T46" s="222"/>
      <c r="U46" s="222"/>
      <c r="V46" s="222"/>
      <c r="W46" s="223"/>
      <c r="X46" s="221" t="s">
        <v>167</v>
      </c>
      <c r="Y46" s="222"/>
      <c r="Z46" s="222"/>
      <c r="AA46" s="222"/>
      <c r="AB46" s="222"/>
      <c r="AC46" s="222"/>
      <c r="AD46" s="223"/>
      <c r="AE46" s="221" t="s">
        <v>168</v>
      </c>
      <c r="AF46" s="222"/>
      <c r="AG46" s="222"/>
      <c r="AH46" s="222"/>
      <c r="AI46" s="222"/>
      <c r="AJ46" s="222"/>
      <c r="AK46" s="223"/>
      <c r="AL46" s="221" t="s">
        <v>169</v>
      </c>
      <c r="AM46" s="222"/>
      <c r="AN46" s="222"/>
      <c r="AO46" s="222"/>
      <c r="AP46" s="222"/>
      <c r="AQ46" s="222"/>
      <c r="AR46" s="223"/>
      <c r="AS46" s="221" t="s">
        <v>170</v>
      </c>
      <c r="AT46" s="222"/>
      <c r="AU46" s="222"/>
      <c r="AV46" s="222"/>
      <c r="AW46" s="222"/>
      <c r="AX46" s="222"/>
      <c r="AY46" s="223"/>
      <c r="AZ46" s="221" t="s">
        <v>171</v>
      </c>
      <c r="BA46" s="222"/>
      <c r="BB46" s="222"/>
      <c r="BC46" s="222"/>
      <c r="BD46" s="222"/>
      <c r="BE46" s="222"/>
      <c r="BF46" s="223"/>
      <c r="BG46" s="230" t="s">
        <v>172</v>
      </c>
      <c r="BH46" s="230"/>
      <c r="BI46" s="230"/>
      <c r="BJ46" s="230"/>
      <c r="BK46" s="224"/>
      <c r="BQ46" s="111"/>
      <c r="BX46" s="111"/>
      <c r="CE46" s="111"/>
      <c r="CL46" s="111"/>
    </row>
    <row r="47" spans="1:92" ht="18" customHeight="1" x14ac:dyDescent="0.25">
      <c r="A47" s="191"/>
      <c r="B47" s="191"/>
      <c r="C47" s="53">
        <v>1</v>
      </c>
      <c r="D47" s="141">
        <v>2</v>
      </c>
      <c r="E47" s="141">
        <v>3</v>
      </c>
      <c r="F47" s="123">
        <v>4</v>
      </c>
      <c r="G47" s="141">
        <v>5</v>
      </c>
      <c r="H47" s="141">
        <v>6</v>
      </c>
      <c r="I47" s="141">
        <v>7</v>
      </c>
      <c r="J47" s="141">
        <v>8</v>
      </c>
      <c r="K47" s="141">
        <v>9</v>
      </c>
      <c r="L47" s="141">
        <v>10</v>
      </c>
      <c r="M47" s="123">
        <v>11</v>
      </c>
      <c r="N47" s="141">
        <v>12</v>
      </c>
      <c r="O47" s="141">
        <v>13</v>
      </c>
      <c r="P47" s="141">
        <v>14</v>
      </c>
      <c r="Q47" s="141">
        <v>15</v>
      </c>
      <c r="R47" s="141">
        <v>16</v>
      </c>
      <c r="S47" s="141">
        <v>17</v>
      </c>
      <c r="T47" s="123">
        <v>18</v>
      </c>
      <c r="U47" s="141">
        <v>19</v>
      </c>
      <c r="V47" s="141">
        <v>20</v>
      </c>
      <c r="W47" s="141">
        <v>21</v>
      </c>
      <c r="X47" s="141">
        <v>22</v>
      </c>
      <c r="Y47" s="141">
        <v>23</v>
      </c>
      <c r="Z47" s="141">
        <v>24</v>
      </c>
      <c r="AA47" s="123">
        <v>25</v>
      </c>
      <c r="AB47" s="141">
        <v>26</v>
      </c>
      <c r="AC47" s="141">
        <v>27</v>
      </c>
      <c r="AD47" s="141">
        <v>28</v>
      </c>
      <c r="AE47" s="179">
        <v>29</v>
      </c>
      <c r="AF47" s="141">
        <v>30</v>
      </c>
      <c r="AG47" s="141">
        <v>31</v>
      </c>
      <c r="AH47" s="123">
        <v>1</v>
      </c>
      <c r="AI47" s="141">
        <v>2</v>
      </c>
      <c r="AJ47" s="141">
        <v>3</v>
      </c>
      <c r="AK47" s="141">
        <v>4</v>
      </c>
      <c r="AL47" s="141">
        <v>5</v>
      </c>
      <c r="AM47" s="141">
        <v>6</v>
      </c>
      <c r="AN47" s="141">
        <v>7</v>
      </c>
      <c r="AO47" s="123">
        <v>8</v>
      </c>
      <c r="AP47" s="141">
        <v>9</v>
      </c>
      <c r="AQ47" s="141">
        <v>10</v>
      </c>
      <c r="AR47" s="141">
        <v>11</v>
      </c>
      <c r="AS47" s="141">
        <v>12</v>
      </c>
      <c r="AT47" s="141">
        <v>13</v>
      </c>
      <c r="AU47" s="141">
        <v>14</v>
      </c>
      <c r="AV47" s="123">
        <v>15</v>
      </c>
      <c r="AW47" s="141">
        <v>16</v>
      </c>
      <c r="AX47" s="141">
        <v>17</v>
      </c>
      <c r="AY47" s="141">
        <v>18</v>
      </c>
      <c r="AZ47" s="141">
        <v>19</v>
      </c>
      <c r="BA47" s="141">
        <v>20</v>
      </c>
      <c r="BB47" s="141">
        <v>21</v>
      </c>
      <c r="BC47" s="123">
        <v>22</v>
      </c>
      <c r="BD47" s="141">
        <v>23</v>
      </c>
      <c r="BE47" s="141">
        <v>24</v>
      </c>
      <c r="BF47" s="141">
        <v>25</v>
      </c>
      <c r="BG47" s="141">
        <v>26</v>
      </c>
      <c r="BH47" s="141">
        <v>27</v>
      </c>
      <c r="BI47" s="141">
        <v>28</v>
      </c>
      <c r="BJ47" s="174">
        <v>29</v>
      </c>
      <c r="BK47" s="140">
        <v>30</v>
      </c>
      <c r="BQ47" s="111"/>
      <c r="BX47" s="111"/>
      <c r="CE47" s="111"/>
      <c r="CL47" s="111"/>
    </row>
    <row r="48" spans="1:92" ht="18" customHeight="1" x14ac:dyDescent="0.25">
      <c r="A48" s="191"/>
      <c r="B48" s="191"/>
      <c r="C48" s="53" t="s">
        <v>157</v>
      </c>
      <c r="D48" s="141" t="s">
        <v>158</v>
      </c>
      <c r="E48" s="141" t="s">
        <v>159</v>
      </c>
      <c r="F48" s="123" t="s">
        <v>320</v>
      </c>
      <c r="G48" s="136" t="s">
        <v>160</v>
      </c>
      <c r="H48" s="141" t="s">
        <v>156</v>
      </c>
      <c r="I48" s="141" t="s">
        <v>157</v>
      </c>
      <c r="J48" s="141" t="s">
        <v>157</v>
      </c>
      <c r="K48" s="141" t="s">
        <v>158</v>
      </c>
      <c r="L48" s="141" t="s">
        <v>159</v>
      </c>
      <c r="M48" s="123" t="s">
        <v>320</v>
      </c>
      <c r="N48" s="136" t="s">
        <v>160</v>
      </c>
      <c r="O48" s="141" t="s">
        <v>156</v>
      </c>
      <c r="P48" s="141" t="s">
        <v>157</v>
      </c>
      <c r="Q48" s="141" t="s">
        <v>157</v>
      </c>
      <c r="R48" s="141" t="s">
        <v>158</v>
      </c>
      <c r="S48" s="141" t="s">
        <v>159</v>
      </c>
      <c r="T48" s="123" t="s">
        <v>320</v>
      </c>
      <c r="U48" s="136" t="s">
        <v>160</v>
      </c>
      <c r="V48" s="141" t="s">
        <v>156</v>
      </c>
      <c r="W48" s="141" t="s">
        <v>157</v>
      </c>
      <c r="X48" s="141" t="s">
        <v>157</v>
      </c>
      <c r="Y48" s="141" t="s">
        <v>158</v>
      </c>
      <c r="Z48" s="141" t="s">
        <v>159</v>
      </c>
      <c r="AA48" s="123" t="s">
        <v>320</v>
      </c>
      <c r="AB48" s="136" t="s">
        <v>160</v>
      </c>
      <c r="AC48" s="141" t="s">
        <v>156</v>
      </c>
      <c r="AD48" s="141" t="s">
        <v>157</v>
      </c>
      <c r="AE48" s="179" t="s">
        <v>157</v>
      </c>
      <c r="AF48" s="141" t="s">
        <v>158</v>
      </c>
      <c r="AG48" s="141" t="s">
        <v>159</v>
      </c>
      <c r="AH48" s="123" t="s">
        <v>320</v>
      </c>
      <c r="AI48" s="136" t="s">
        <v>160</v>
      </c>
      <c r="AJ48" s="141" t="s">
        <v>156</v>
      </c>
      <c r="AK48" s="141" t="s">
        <v>157</v>
      </c>
      <c r="AL48" s="141" t="s">
        <v>157</v>
      </c>
      <c r="AM48" s="136" t="s">
        <v>158</v>
      </c>
      <c r="AN48" s="136" t="s">
        <v>159</v>
      </c>
      <c r="AO48" s="123" t="s">
        <v>320</v>
      </c>
      <c r="AP48" s="136" t="s">
        <v>160</v>
      </c>
      <c r="AQ48" s="141" t="s">
        <v>156</v>
      </c>
      <c r="AR48" s="141" t="s">
        <v>157</v>
      </c>
      <c r="AS48" s="141" t="s">
        <v>157</v>
      </c>
      <c r="AT48" s="141" t="s">
        <v>158</v>
      </c>
      <c r="AU48" s="141" t="s">
        <v>159</v>
      </c>
      <c r="AV48" s="123" t="s">
        <v>320</v>
      </c>
      <c r="AW48" s="136" t="s">
        <v>160</v>
      </c>
      <c r="AX48" s="141" t="s">
        <v>156</v>
      </c>
      <c r="AY48" s="141" t="s">
        <v>157</v>
      </c>
      <c r="AZ48" s="141" t="s">
        <v>157</v>
      </c>
      <c r="BA48" s="141" t="s">
        <v>158</v>
      </c>
      <c r="BB48" s="141" t="s">
        <v>159</v>
      </c>
      <c r="BC48" s="123" t="s">
        <v>320</v>
      </c>
      <c r="BD48" s="136" t="s">
        <v>160</v>
      </c>
      <c r="BE48" s="141" t="s">
        <v>156</v>
      </c>
      <c r="BF48" s="141" t="s">
        <v>157</v>
      </c>
      <c r="BG48" s="141" t="s">
        <v>157</v>
      </c>
      <c r="BH48" s="141" t="s">
        <v>158</v>
      </c>
      <c r="BI48" s="141" t="s">
        <v>159</v>
      </c>
      <c r="BJ48" s="175" t="s">
        <v>320</v>
      </c>
      <c r="BK48" s="161" t="s">
        <v>160</v>
      </c>
      <c r="BQ48" s="111"/>
      <c r="BX48" s="111"/>
      <c r="CE48" s="111"/>
      <c r="CL48" s="111"/>
    </row>
    <row r="49" spans="1:92" ht="18" customHeight="1" x14ac:dyDescent="0.25">
      <c r="A49" s="124">
        <v>39</v>
      </c>
      <c r="B49" s="96" t="s">
        <v>173</v>
      </c>
      <c r="C49" s="122"/>
      <c r="D49" s="122"/>
      <c r="E49" s="122"/>
      <c r="F49" s="116"/>
      <c r="G49" s="115"/>
      <c r="H49" s="116"/>
      <c r="I49" s="118"/>
      <c r="J49" s="118"/>
      <c r="K49" s="118"/>
      <c r="L49" s="118"/>
      <c r="M49" s="118"/>
      <c r="N49" s="115"/>
      <c r="O49" s="118"/>
      <c r="P49" s="118"/>
      <c r="Q49" s="118"/>
      <c r="R49" s="118"/>
      <c r="S49" s="118"/>
      <c r="T49" s="118"/>
      <c r="U49" s="115"/>
      <c r="V49" s="118"/>
      <c r="W49" s="118"/>
      <c r="X49" s="118"/>
      <c r="Y49" s="118"/>
      <c r="Z49" s="118"/>
      <c r="AA49" s="118"/>
      <c r="AB49" s="115"/>
      <c r="AC49" s="118"/>
      <c r="AD49" s="118"/>
      <c r="AE49" s="180"/>
      <c r="AF49" s="118"/>
      <c r="AG49" s="118"/>
      <c r="AH49" s="118"/>
      <c r="AI49" s="115"/>
      <c r="AJ49" s="118"/>
      <c r="AK49" s="118"/>
      <c r="AL49" s="118"/>
      <c r="AM49" s="115"/>
      <c r="AN49" s="115"/>
      <c r="AO49" s="118"/>
      <c r="AP49" s="115"/>
      <c r="AQ49" s="118"/>
      <c r="AR49" s="118"/>
      <c r="AS49" s="118"/>
      <c r="AT49" s="118"/>
      <c r="AU49" s="118"/>
      <c r="AV49" s="118"/>
      <c r="AW49" s="115"/>
      <c r="AX49" s="118"/>
      <c r="AY49" s="118"/>
      <c r="AZ49" s="118"/>
      <c r="BA49" s="118"/>
      <c r="BB49" s="118"/>
      <c r="BC49" s="118"/>
      <c r="BD49" s="115"/>
      <c r="BE49" s="118"/>
      <c r="BF49" s="118"/>
      <c r="BG49" s="118"/>
      <c r="BH49" s="118"/>
      <c r="BI49" s="118"/>
      <c r="BJ49" s="176"/>
      <c r="BK49" s="162"/>
      <c r="BQ49" s="111"/>
      <c r="BX49" s="111"/>
      <c r="CE49" s="111"/>
      <c r="CL49" s="111"/>
    </row>
    <row r="50" spans="1:92" ht="18" customHeight="1" x14ac:dyDescent="0.25">
      <c r="A50" s="124">
        <v>40</v>
      </c>
      <c r="B50" s="96" t="s">
        <v>314</v>
      </c>
      <c r="C50" s="118"/>
      <c r="D50" s="118"/>
      <c r="E50" s="118"/>
      <c r="F50" s="118"/>
      <c r="G50" s="115"/>
      <c r="H50" s="116"/>
      <c r="I50" s="116"/>
      <c r="J50" s="116"/>
      <c r="K50" s="116"/>
      <c r="L50" s="116"/>
      <c r="M50" s="116"/>
      <c r="N50" s="115"/>
      <c r="O50" s="118"/>
      <c r="P50" s="118"/>
      <c r="Q50" s="118"/>
      <c r="R50" s="118"/>
      <c r="S50" s="118"/>
      <c r="T50" s="118"/>
      <c r="U50" s="115"/>
      <c r="V50" s="118"/>
      <c r="W50" s="118"/>
      <c r="X50" s="118"/>
      <c r="Y50" s="118"/>
      <c r="Z50" s="118"/>
      <c r="AA50" s="118"/>
      <c r="AB50" s="115"/>
      <c r="AC50" s="118"/>
      <c r="AD50" s="118"/>
      <c r="AE50" s="180"/>
      <c r="AF50" s="118"/>
      <c r="AG50" s="118"/>
      <c r="AH50" s="118"/>
      <c r="AI50" s="115"/>
      <c r="AJ50" s="118"/>
      <c r="AK50" s="118"/>
      <c r="AL50" s="118"/>
      <c r="AM50" s="115"/>
      <c r="AN50" s="115"/>
      <c r="AO50" s="118"/>
      <c r="AP50" s="115"/>
      <c r="AQ50" s="118"/>
      <c r="AR50" s="118"/>
      <c r="AS50" s="118"/>
      <c r="AT50" s="118"/>
      <c r="AU50" s="118"/>
      <c r="AV50" s="118"/>
      <c r="AW50" s="115"/>
      <c r="AX50" s="118"/>
      <c r="AY50" s="118"/>
      <c r="AZ50" s="118"/>
      <c r="BA50" s="118"/>
      <c r="BB50" s="118"/>
      <c r="BC50" s="118"/>
      <c r="BD50" s="115"/>
      <c r="BE50" s="118"/>
      <c r="BF50" s="118"/>
      <c r="BG50" s="118"/>
      <c r="BH50" s="118"/>
      <c r="BI50" s="118"/>
      <c r="BJ50" s="176"/>
      <c r="BK50" s="162"/>
      <c r="BQ50" s="111"/>
      <c r="BX50" s="111"/>
      <c r="CE50" s="111"/>
      <c r="CL50" s="111"/>
    </row>
    <row r="51" spans="1:92" ht="18" customHeight="1" x14ac:dyDescent="0.25">
      <c r="A51" s="124">
        <v>41</v>
      </c>
      <c r="B51" s="96" t="s">
        <v>297</v>
      </c>
      <c r="C51" s="118"/>
      <c r="D51" s="118"/>
      <c r="E51" s="118"/>
      <c r="F51" s="118"/>
      <c r="G51" s="115"/>
      <c r="H51" s="118"/>
      <c r="I51" s="118"/>
      <c r="J51" s="118"/>
      <c r="K51" s="118"/>
      <c r="L51" s="118"/>
      <c r="M51" s="118"/>
      <c r="N51" s="115"/>
      <c r="O51" s="116"/>
      <c r="P51" s="116"/>
      <c r="Q51" s="116"/>
      <c r="R51" s="116"/>
      <c r="S51" s="116"/>
      <c r="T51" s="116"/>
      <c r="U51" s="115"/>
      <c r="V51" s="118"/>
      <c r="W51" s="118"/>
      <c r="X51" s="118"/>
      <c r="Y51" s="118"/>
      <c r="Z51" s="118"/>
      <c r="AA51" s="118"/>
      <c r="AB51" s="115"/>
      <c r="AC51" s="118"/>
      <c r="AD51" s="118"/>
      <c r="AE51" s="180"/>
      <c r="AF51" s="118"/>
      <c r="AG51" s="118"/>
      <c r="AH51" s="118"/>
      <c r="AI51" s="115"/>
      <c r="AJ51" s="118"/>
      <c r="AK51" s="118"/>
      <c r="AL51" s="118"/>
      <c r="AM51" s="115"/>
      <c r="AN51" s="115"/>
      <c r="AO51" s="118"/>
      <c r="AP51" s="115"/>
      <c r="AQ51" s="118"/>
      <c r="AR51" s="118"/>
      <c r="AS51" s="118"/>
      <c r="AT51" s="118"/>
      <c r="AU51" s="118"/>
      <c r="AV51" s="118"/>
      <c r="AW51" s="115"/>
      <c r="AX51" s="118"/>
      <c r="AY51" s="118"/>
      <c r="AZ51" s="118"/>
      <c r="BA51" s="118"/>
      <c r="BB51" s="118"/>
      <c r="BC51" s="118"/>
      <c r="BD51" s="115"/>
      <c r="BE51" s="118"/>
      <c r="BF51" s="118"/>
      <c r="BG51" s="118"/>
      <c r="BH51" s="118"/>
      <c r="BI51" s="118"/>
      <c r="BJ51" s="176"/>
      <c r="BK51" s="162"/>
      <c r="BQ51" s="111"/>
      <c r="BX51" s="111"/>
      <c r="CE51" s="111"/>
      <c r="CL51" s="111"/>
    </row>
    <row r="52" spans="1:92" ht="18" customHeight="1" x14ac:dyDescent="0.25">
      <c r="A52" s="124">
        <v>42</v>
      </c>
      <c r="B52" s="96" t="s">
        <v>298</v>
      </c>
      <c r="C52" s="118"/>
      <c r="D52" s="118"/>
      <c r="E52" s="118"/>
      <c r="F52" s="118"/>
      <c r="G52" s="115"/>
      <c r="H52" s="118"/>
      <c r="I52" s="118"/>
      <c r="J52" s="118"/>
      <c r="K52" s="118"/>
      <c r="L52" s="118"/>
      <c r="M52" s="118"/>
      <c r="N52" s="115"/>
      <c r="O52" s="118"/>
      <c r="P52" s="118"/>
      <c r="Q52" s="118"/>
      <c r="R52" s="118"/>
      <c r="S52" s="118"/>
      <c r="T52" s="118"/>
      <c r="U52" s="115"/>
      <c r="V52" s="116"/>
      <c r="W52" s="116"/>
      <c r="X52" s="116"/>
      <c r="Y52" s="116"/>
      <c r="Z52" s="116"/>
      <c r="AA52" s="116"/>
      <c r="AB52" s="115"/>
      <c r="AC52" s="116"/>
      <c r="AD52" s="116"/>
      <c r="AE52" s="180"/>
      <c r="AF52" s="118"/>
      <c r="AG52" s="118"/>
      <c r="AH52" s="118"/>
      <c r="AI52" s="115"/>
      <c r="AJ52" s="118"/>
      <c r="AK52" s="118"/>
      <c r="AL52" s="118"/>
      <c r="AM52" s="115"/>
      <c r="AN52" s="115"/>
      <c r="AO52" s="118"/>
      <c r="AP52" s="115"/>
      <c r="AQ52" s="118"/>
      <c r="AR52" s="118"/>
      <c r="AS52" s="118"/>
      <c r="AT52" s="118"/>
      <c r="AU52" s="118"/>
      <c r="AV52" s="118"/>
      <c r="AW52" s="115"/>
      <c r="AX52" s="118"/>
      <c r="AY52" s="118"/>
      <c r="AZ52" s="118"/>
      <c r="BA52" s="118"/>
      <c r="BB52" s="118"/>
      <c r="BC52" s="118"/>
      <c r="BD52" s="115"/>
      <c r="BE52" s="118"/>
      <c r="BF52" s="118"/>
      <c r="BG52" s="118"/>
      <c r="BH52" s="118"/>
      <c r="BI52" s="118"/>
      <c r="BJ52" s="176"/>
      <c r="BK52" s="162"/>
      <c r="BQ52" s="111"/>
      <c r="BX52" s="111"/>
      <c r="CE52" s="111"/>
      <c r="CL52" s="111"/>
    </row>
    <row r="53" spans="1:92" ht="18" customHeight="1" x14ac:dyDescent="0.25">
      <c r="A53" s="124">
        <v>43</v>
      </c>
      <c r="B53" s="96" t="s">
        <v>304</v>
      </c>
      <c r="C53" s="118"/>
      <c r="D53" s="118"/>
      <c r="E53" s="118"/>
      <c r="F53" s="118"/>
      <c r="G53" s="115"/>
      <c r="H53" s="118"/>
      <c r="I53" s="118"/>
      <c r="J53" s="118"/>
      <c r="K53" s="118"/>
      <c r="L53" s="118"/>
      <c r="M53" s="118"/>
      <c r="N53" s="115"/>
      <c r="O53" s="118"/>
      <c r="P53" s="118"/>
      <c r="Q53" s="118"/>
      <c r="R53" s="118"/>
      <c r="S53" s="118"/>
      <c r="T53" s="118"/>
      <c r="U53" s="115"/>
      <c r="V53" s="118"/>
      <c r="W53" s="118"/>
      <c r="X53" s="118"/>
      <c r="Y53" s="118"/>
      <c r="Z53" s="118"/>
      <c r="AA53" s="118"/>
      <c r="AB53" s="115"/>
      <c r="AC53" s="118"/>
      <c r="AD53" s="118"/>
      <c r="AE53" s="180"/>
      <c r="AF53" s="116"/>
      <c r="AG53" s="116"/>
      <c r="AH53" s="116"/>
      <c r="AI53" s="115"/>
      <c r="AJ53" s="118"/>
      <c r="AK53" s="118"/>
      <c r="AL53" s="118"/>
      <c r="AM53" s="115"/>
      <c r="AN53" s="115"/>
      <c r="AO53" s="118"/>
      <c r="AP53" s="115"/>
      <c r="AQ53" s="118"/>
      <c r="AR53" s="118"/>
      <c r="AS53" s="118"/>
      <c r="AT53" s="118"/>
      <c r="AU53" s="118"/>
      <c r="AV53" s="118"/>
      <c r="AW53" s="115"/>
      <c r="AX53" s="118"/>
      <c r="AY53" s="118"/>
      <c r="AZ53" s="118"/>
      <c r="BA53" s="118"/>
      <c r="BB53" s="118"/>
      <c r="BC53" s="118"/>
      <c r="BD53" s="115"/>
      <c r="BE53" s="118"/>
      <c r="BF53" s="118"/>
      <c r="BG53" s="118"/>
      <c r="BH53" s="118"/>
      <c r="BI53" s="118"/>
      <c r="BJ53" s="176"/>
      <c r="BK53" s="162"/>
      <c r="BQ53" s="111"/>
      <c r="BX53" s="111"/>
      <c r="CE53" s="111"/>
      <c r="CL53" s="111"/>
    </row>
    <row r="54" spans="1:92" ht="18" customHeight="1" x14ac:dyDescent="0.25">
      <c r="A54" s="124">
        <v>44</v>
      </c>
      <c r="B54" s="96" t="s">
        <v>305</v>
      </c>
      <c r="C54" s="118"/>
      <c r="D54" s="118"/>
      <c r="E54" s="118"/>
      <c r="F54" s="118"/>
      <c r="G54" s="115"/>
      <c r="H54" s="118"/>
      <c r="I54" s="118"/>
      <c r="J54" s="118"/>
      <c r="K54" s="118"/>
      <c r="L54" s="118"/>
      <c r="M54" s="118"/>
      <c r="N54" s="115"/>
      <c r="O54" s="118"/>
      <c r="P54" s="118"/>
      <c r="Q54" s="118"/>
      <c r="R54" s="118"/>
      <c r="S54" s="118"/>
      <c r="T54" s="118"/>
      <c r="U54" s="115"/>
      <c r="V54" s="118"/>
      <c r="W54" s="118"/>
      <c r="X54" s="118"/>
      <c r="Y54" s="118"/>
      <c r="Z54" s="118"/>
      <c r="AA54" s="118"/>
      <c r="AB54" s="115"/>
      <c r="AC54" s="118"/>
      <c r="AD54" s="118"/>
      <c r="AE54" s="180"/>
      <c r="AF54" s="118"/>
      <c r="AG54" s="118"/>
      <c r="AH54" s="118"/>
      <c r="AI54" s="115"/>
      <c r="AJ54" s="116"/>
      <c r="AK54" s="116"/>
      <c r="AL54" s="116"/>
      <c r="AM54" s="115"/>
      <c r="AN54" s="115"/>
      <c r="AO54" s="118"/>
      <c r="AP54" s="115"/>
      <c r="AQ54" s="118"/>
      <c r="AR54" s="118"/>
      <c r="AS54" s="118"/>
      <c r="AT54" s="118"/>
      <c r="AU54" s="118"/>
      <c r="AV54" s="118"/>
      <c r="AW54" s="115"/>
      <c r="AX54" s="118"/>
      <c r="AY54" s="118"/>
      <c r="AZ54" s="118"/>
      <c r="BA54" s="118"/>
      <c r="BB54" s="118"/>
      <c r="BC54" s="118"/>
      <c r="BD54" s="115"/>
      <c r="BE54" s="118"/>
      <c r="BF54" s="118"/>
      <c r="BG54" s="118"/>
      <c r="BH54" s="118"/>
      <c r="BI54" s="118"/>
      <c r="BJ54" s="176"/>
      <c r="BK54" s="162"/>
      <c r="BQ54" s="111"/>
      <c r="BX54" s="111"/>
      <c r="CE54" s="111"/>
      <c r="CL54" s="111"/>
    </row>
    <row r="55" spans="1:92" ht="18" customHeight="1" x14ac:dyDescent="0.25">
      <c r="A55" s="124">
        <v>45</v>
      </c>
      <c r="B55" s="96" t="s">
        <v>300</v>
      </c>
      <c r="C55" s="118"/>
      <c r="D55" s="118"/>
      <c r="E55" s="118"/>
      <c r="F55" s="118"/>
      <c r="G55" s="115"/>
      <c r="H55" s="118"/>
      <c r="I55" s="118"/>
      <c r="J55" s="118"/>
      <c r="K55" s="118"/>
      <c r="L55" s="118"/>
      <c r="M55" s="118"/>
      <c r="N55" s="115"/>
      <c r="O55" s="118"/>
      <c r="P55" s="118"/>
      <c r="Q55" s="118"/>
      <c r="R55" s="118"/>
      <c r="S55" s="118"/>
      <c r="T55" s="118"/>
      <c r="U55" s="115"/>
      <c r="V55" s="118"/>
      <c r="W55" s="118"/>
      <c r="X55" s="118"/>
      <c r="Y55" s="118"/>
      <c r="Z55" s="118"/>
      <c r="AA55" s="118"/>
      <c r="AB55" s="115"/>
      <c r="AC55" s="118"/>
      <c r="AD55" s="118"/>
      <c r="AE55" s="180"/>
      <c r="AF55" s="118"/>
      <c r="AG55" s="118"/>
      <c r="AH55" s="118"/>
      <c r="AI55" s="115"/>
      <c r="AJ55" s="118"/>
      <c r="AK55" s="118"/>
      <c r="AL55" s="118"/>
      <c r="AM55" s="115"/>
      <c r="AN55" s="115"/>
      <c r="AO55" s="118"/>
      <c r="AP55" s="115"/>
      <c r="AQ55" s="116"/>
      <c r="AR55" s="116"/>
      <c r="AS55" s="116"/>
      <c r="AT55" s="116"/>
      <c r="AU55" s="118"/>
      <c r="AV55" s="118"/>
      <c r="AW55" s="115"/>
      <c r="AX55" s="118"/>
      <c r="AY55" s="118"/>
      <c r="AZ55" s="118"/>
      <c r="BA55" s="118"/>
      <c r="BB55" s="118"/>
      <c r="BC55" s="118"/>
      <c r="BD55" s="115"/>
      <c r="BE55" s="118"/>
      <c r="BF55" s="118"/>
      <c r="BG55" s="118"/>
      <c r="BH55" s="118"/>
      <c r="BI55" s="118"/>
      <c r="BJ55" s="176"/>
      <c r="BK55" s="162"/>
      <c r="BQ55" s="111"/>
      <c r="BX55" s="111"/>
      <c r="CE55" s="111"/>
      <c r="CL55" s="111"/>
    </row>
    <row r="56" spans="1:92" ht="18" customHeight="1" x14ac:dyDescent="0.25">
      <c r="A56" s="124">
        <v>46</v>
      </c>
      <c r="B56" s="96" t="s">
        <v>306</v>
      </c>
      <c r="C56" s="118"/>
      <c r="D56" s="118"/>
      <c r="E56" s="118"/>
      <c r="F56" s="118"/>
      <c r="G56" s="115"/>
      <c r="H56" s="118"/>
      <c r="I56" s="118"/>
      <c r="J56" s="118"/>
      <c r="K56" s="118"/>
      <c r="L56" s="118"/>
      <c r="M56" s="118"/>
      <c r="N56" s="115"/>
      <c r="O56" s="118"/>
      <c r="P56" s="118"/>
      <c r="Q56" s="118"/>
      <c r="R56" s="118"/>
      <c r="S56" s="118"/>
      <c r="T56" s="118"/>
      <c r="U56" s="115"/>
      <c r="V56" s="118"/>
      <c r="W56" s="118"/>
      <c r="X56" s="118"/>
      <c r="Y56" s="118"/>
      <c r="Z56" s="118"/>
      <c r="AA56" s="118"/>
      <c r="AB56" s="115"/>
      <c r="AC56" s="118"/>
      <c r="AD56" s="118"/>
      <c r="AE56" s="180"/>
      <c r="AF56" s="118"/>
      <c r="AG56" s="118"/>
      <c r="AH56" s="118"/>
      <c r="AI56" s="115"/>
      <c r="AJ56" s="118"/>
      <c r="AK56" s="118"/>
      <c r="AL56" s="118"/>
      <c r="AM56" s="115"/>
      <c r="AN56" s="115"/>
      <c r="AO56" s="118"/>
      <c r="AP56" s="115"/>
      <c r="AQ56" s="118"/>
      <c r="AR56" s="118"/>
      <c r="AS56" s="118"/>
      <c r="AT56" s="116"/>
      <c r="AU56" s="116"/>
      <c r="AV56" s="116"/>
      <c r="AW56" s="115"/>
      <c r="AX56" s="118"/>
      <c r="AY56" s="118"/>
      <c r="AZ56" s="118"/>
      <c r="BA56" s="118"/>
      <c r="BB56" s="118"/>
      <c r="BC56" s="118"/>
      <c r="BD56" s="115"/>
      <c r="BE56" s="118"/>
      <c r="BF56" s="118"/>
      <c r="BG56" s="118"/>
      <c r="BH56" s="118"/>
      <c r="BI56" s="118"/>
      <c r="BJ56" s="176"/>
      <c r="BK56" s="162"/>
      <c r="BQ56" s="111"/>
      <c r="BX56" s="111"/>
      <c r="CE56" s="111"/>
      <c r="CL56" s="111"/>
    </row>
    <row r="57" spans="1:92" ht="18" customHeight="1" x14ac:dyDescent="0.25">
      <c r="A57" s="124">
        <v>47</v>
      </c>
      <c r="B57" s="96" t="s">
        <v>307</v>
      </c>
      <c r="C57" s="118"/>
      <c r="D57" s="118"/>
      <c r="E57" s="118"/>
      <c r="F57" s="118"/>
      <c r="G57" s="115"/>
      <c r="H57" s="118"/>
      <c r="I57" s="118"/>
      <c r="J57" s="118"/>
      <c r="K57" s="118"/>
      <c r="L57" s="118"/>
      <c r="M57" s="118"/>
      <c r="N57" s="115"/>
      <c r="O57" s="118"/>
      <c r="P57" s="118"/>
      <c r="Q57" s="118"/>
      <c r="R57" s="118"/>
      <c r="S57" s="118"/>
      <c r="T57" s="118"/>
      <c r="U57" s="115"/>
      <c r="V57" s="118"/>
      <c r="W57" s="118"/>
      <c r="X57" s="118"/>
      <c r="Y57" s="118"/>
      <c r="Z57" s="118"/>
      <c r="AA57" s="118"/>
      <c r="AB57" s="115"/>
      <c r="AC57" s="118"/>
      <c r="AD57" s="118"/>
      <c r="AE57" s="180"/>
      <c r="AF57" s="118"/>
      <c r="AG57" s="118"/>
      <c r="AH57" s="118"/>
      <c r="AI57" s="115"/>
      <c r="AJ57" s="118"/>
      <c r="AK57" s="118"/>
      <c r="AL57" s="118"/>
      <c r="AM57" s="115"/>
      <c r="AN57" s="115"/>
      <c r="AO57" s="118"/>
      <c r="AP57" s="115"/>
      <c r="AQ57" s="118"/>
      <c r="AR57" s="118"/>
      <c r="AS57" s="118"/>
      <c r="AT57" s="118"/>
      <c r="AU57" s="116"/>
      <c r="AV57" s="116"/>
      <c r="AW57" s="115"/>
      <c r="AX57" s="118"/>
      <c r="AY57" s="118"/>
      <c r="AZ57" s="118"/>
      <c r="BA57" s="118"/>
      <c r="BB57" s="118"/>
      <c r="BC57" s="118"/>
      <c r="BD57" s="115"/>
      <c r="BE57" s="118"/>
      <c r="BF57" s="118"/>
      <c r="BG57" s="118"/>
      <c r="BH57" s="118"/>
      <c r="BI57" s="118"/>
      <c r="BJ57" s="176"/>
      <c r="BK57" s="162"/>
      <c r="BQ57" s="111"/>
      <c r="BX57" s="111"/>
      <c r="CE57" s="111"/>
      <c r="CL57" s="111"/>
    </row>
    <row r="58" spans="1:92" ht="18" customHeight="1" x14ac:dyDescent="0.25">
      <c r="A58" s="124">
        <v>48</v>
      </c>
      <c r="B58" s="96" t="s">
        <v>308</v>
      </c>
      <c r="C58" s="118"/>
      <c r="D58" s="118"/>
      <c r="E58" s="118"/>
      <c r="F58" s="118"/>
      <c r="G58" s="115"/>
      <c r="H58" s="118"/>
      <c r="I58" s="118"/>
      <c r="J58" s="118"/>
      <c r="K58" s="118"/>
      <c r="L58" s="118"/>
      <c r="M58" s="118"/>
      <c r="N58" s="115"/>
      <c r="O58" s="118"/>
      <c r="P58" s="118"/>
      <c r="Q58" s="118"/>
      <c r="R58" s="118"/>
      <c r="S58" s="118"/>
      <c r="T58" s="118"/>
      <c r="U58" s="115"/>
      <c r="V58" s="118"/>
      <c r="W58" s="118"/>
      <c r="X58" s="118"/>
      <c r="Y58" s="118"/>
      <c r="Z58" s="118"/>
      <c r="AA58" s="118"/>
      <c r="AB58" s="115"/>
      <c r="AC58" s="118"/>
      <c r="AD58" s="118"/>
      <c r="AE58" s="180"/>
      <c r="AF58" s="118"/>
      <c r="AG58" s="118"/>
      <c r="AH58" s="118"/>
      <c r="AI58" s="115"/>
      <c r="AJ58" s="118"/>
      <c r="AK58" s="118"/>
      <c r="AL58" s="118"/>
      <c r="AM58" s="115"/>
      <c r="AN58" s="115"/>
      <c r="AO58" s="118"/>
      <c r="AP58" s="115"/>
      <c r="AQ58" s="118"/>
      <c r="AR58" s="118"/>
      <c r="AS58" s="118"/>
      <c r="AT58" s="118"/>
      <c r="AU58" s="118"/>
      <c r="AV58" s="118"/>
      <c r="AW58" s="115"/>
      <c r="AX58" s="116"/>
      <c r="AY58" s="116"/>
      <c r="AZ58" s="118"/>
      <c r="BA58" s="118"/>
      <c r="BB58" s="118"/>
      <c r="BC58" s="118"/>
      <c r="BD58" s="115"/>
      <c r="BE58" s="118"/>
      <c r="BF58" s="118"/>
      <c r="BG58" s="118"/>
      <c r="BH58" s="118"/>
      <c r="BI58" s="118"/>
      <c r="BJ58" s="176"/>
      <c r="BK58" s="162"/>
      <c r="BQ58" s="111"/>
      <c r="BX58" s="111"/>
      <c r="CE58" s="111"/>
      <c r="CL58" s="111"/>
    </row>
    <row r="59" spans="1:92" ht="18" customHeight="1" x14ac:dyDescent="0.25">
      <c r="A59" s="124">
        <v>49</v>
      </c>
      <c r="B59" s="96" t="s">
        <v>309</v>
      </c>
      <c r="C59" s="118"/>
      <c r="D59" s="118"/>
      <c r="E59" s="118"/>
      <c r="F59" s="118"/>
      <c r="G59" s="115"/>
      <c r="H59" s="118"/>
      <c r="I59" s="118"/>
      <c r="J59" s="118"/>
      <c r="K59" s="118"/>
      <c r="L59" s="118"/>
      <c r="M59" s="118"/>
      <c r="N59" s="115"/>
      <c r="O59" s="118"/>
      <c r="P59" s="118"/>
      <c r="Q59" s="118"/>
      <c r="R59" s="118"/>
      <c r="S59" s="118"/>
      <c r="T59" s="118"/>
      <c r="U59" s="115"/>
      <c r="V59" s="118"/>
      <c r="W59" s="118"/>
      <c r="X59" s="118"/>
      <c r="Y59" s="118"/>
      <c r="Z59" s="118"/>
      <c r="AA59" s="118"/>
      <c r="AB59" s="115"/>
      <c r="AC59" s="118"/>
      <c r="AD59" s="118"/>
      <c r="AE59" s="180"/>
      <c r="AF59" s="118"/>
      <c r="AG59" s="118"/>
      <c r="AH59" s="118"/>
      <c r="AI59" s="115"/>
      <c r="AJ59" s="118"/>
      <c r="AK59" s="118"/>
      <c r="AL59" s="118"/>
      <c r="AM59" s="115"/>
      <c r="AN59" s="115"/>
      <c r="AO59" s="118"/>
      <c r="AP59" s="115"/>
      <c r="AQ59" s="118"/>
      <c r="AR59" s="118"/>
      <c r="AS59" s="118"/>
      <c r="AT59" s="118"/>
      <c r="AU59" s="118"/>
      <c r="AV59" s="118"/>
      <c r="AW59" s="115"/>
      <c r="AX59" s="118"/>
      <c r="AY59" s="118"/>
      <c r="AZ59" s="116"/>
      <c r="BA59" s="116"/>
      <c r="BB59" s="116"/>
      <c r="BC59" s="116"/>
      <c r="BD59" s="115"/>
      <c r="BE59" s="118"/>
      <c r="BF59" s="118"/>
      <c r="BG59" s="118"/>
      <c r="BH59" s="118"/>
      <c r="BI59" s="118"/>
      <c r="BJ59" s="176"/>
      <c r="BK59" s="162"/>
      <c r="BQ59" s="111"/>
      <c r="BX59" s="111"/>
      <c r="CE59" s="111"/>
      <c r="CL59" s="111"/>
    </row>
    <row r="60" spans="1:92" ht="18" customHeight="1" x14ac:dyDescent="0.25">
      <c r="A60" s="124">
        <v>50</v>
      </c>
      <c r="B60" s="96" t="s">
        <v>310</v>
      </c>
      <c r="C60" s="118"/>
      <c r="D60" s="118"/>
      <c r="E60" s="118"/>
      <c r="F60" s="118"/>
      <c r="G60" s="115"/>
      <c r="H60" s="118"/>
      <c r="I60" s="118"/>
      <c r="J60" s="118"/>
      <c r="K60" s="118"/>
      <c r="L60" s="118"/>
      <c r="M60" s="118"/>
      <c r="N60" s="115"/>
      <c r="O60" s="118"/>
      <c r="P60" s="118"/>
      <c r="Q60" s="118"/>
      <c r="R60" s="118"/>
      <c r="S60" s="118"/>
      <c r="T60" s="118"/>
      <c r="U60" s="115"/>
      <c r="V60" s="118"/>
      <c r="W60" s="118"/>
      <c r="X60" s="118"/>
      <c r="Y60" s="118"/>
      <c r="Z60" s="118"/>
      <c r="AA60" s="118"/>
      <c r="AB60" s="115"/>
      <c r="AC60" s="118"/>
      <c r="AD60" s="118"/>
      <c r="AE60" s="180"/>
      <c r="AF60" s="118"/>
      <c r="AG60" s="118"/>
      <c r="AH60" s="118"/>
      <c r="AI60" s="115"/>
      <c r="AJ60" s="118"/>
      <c r="AK60" s="118"/>
      <c r="AL60" s="118"/>
      <c r="AM60" s="115"/>
      <c r="AN60" s="115"/>
      <c r="AO60" s="118"/>
      <c r="AP60" s="115"/>
      <c r="AQ60" s="118"/>
      <c r="AR60" s="118"/>
      <c r="AS60" s="118"/>
      <c r="AT60" s="118"/>
      <c r="AU60" s="118"/>
      <c r="AV60" s="118"/>
      <c r="AW60" s="115"/>
      <c r="AX60" s="118"/>
      <c r="AY60" s="118"/>
      <c r="AZ60" s="118"/>
      <c r="BA60" s="118"/>
      <c r="BB60" s="118"/>
      <c r="BC60" s="118"/>
      <c r="BD60" s="115"/>
      <c r="BE60" s="116"/>
      <c r="BF60" s="116"/>
      <c r="BG60" s="116"/>
      <c r="BH60" s="118"/>
      <c r="BI60" s="118"/>
      <c r="BJ60" s="176"/>
      <c r="BK60" s="162"/>
      <c r="BQ60" s="111"/>
      <c r="BX60" s="111"/>
      <c r="CE60" s="111"/>
      <c r="CL60" s="111"/>
    </row>
    <row r="61" spans="1:92" ht="18" customHeight="1" x14ac:dyDescent="0.25">
      <c r="A61" s="124">
        <v>51</v>
      </c>
      <c r="B61" s="96" t="s">
        <v>311</v>
      </c>
      <c r="C61" s="118"/>
      <c r="D61" s="118"/>
      <c r="E61" s="118"/>
      <c r="F61" s="118"/>
      <c r="G61" s="115"/>
      <c r="H61" s="118"/>
      <c r="I61" s="118"/>
      <c r="J61" s="118"/>
      <c r="K61" s="118"/>
      <c r="L61" s="118"/>
      <c r="M61" s="118"/>
      <c r="N61" s="115"/>
      <c r="O61" s="118"/>
      <c r="P61" s="118"/>
      <c r="Q61" s="118"/>
      <c r="R61" s="118"/>
      <c r="S61" s="118"/>
      <c r="T61" s="118"/>
      <c r="U61" s="115"/>
      <c r="V61" s="118"/>
      <c r="W61" s="118"/>
      <c r="X61" s="118"/>
      <c r="Y61" s="118"/>
      <c r="Z61" s="118"/>
      <c r="AA61" s="118"/>
      <c r="AB61" s="115"/>
      <c r="AC61" s="116"/>
      <c r="AD61" s="116"/>
      <c r="AE61" s="180"/>
      <c r="AF61" s="116"/>
      <c r="AG61" s="116"/>
      <c r="AH61" s="116"/>
      <c r="AI61" s="115"/>
      <c r="AJ61" s="116"/>
      <c r="AK61" s="116"/>
      <c r="AL61" s="116"/>
      <c r="AM61" s="115"/>
      <c r="AN61" s="115"/>
      <c r="AO61" s="116"/>
      <c r="AP61" s="115"/>
      <c r="AQ61" s="116"/>
      <c r="AR61" s="116"/>
      <c r="AS61" s="116"/>
      <c r="AT61" s="116"/>
      <c r="AU61" s="116"/>
      <c r="AV61" s="116"/>
      <c r="AW61" s="115"/>
      <c r="AX61" s="131"/>
      <c r="AY61" s="131"/>
      <c r="AZ61" s="131"/>
      <c r="BA61" s="131"/>
      <c r="BB61" s="131"/>
      <c r="BC61" s="132"/>
      <c r="BD61" s="115"/>
      <c r="BE61" s="131"/>
      <c r="BF61" s="131"/>
      <c r="BG61" s="131"/>
      <c r="BH61" s="131"/>
      <c r="BI61" s="131"/>
      <c r="BJ61" s="177"/>
      <c r="BK61" s="162"/>
      <c r="BQ61" s="111"/>
      <c r="BX61" s="111"/>
      <c r="CE61" s="111"/>
      <c r="CL61" s="111"/>
    </row>
    <row r="62" spans="1:92" ht="18" customHeight="1" thickBot="1" x14ac:dyDescent="0.3">
      <c r="A62" s="219" t="s">
        <v>313</v>
      </c>
      <c r="B62" s="220"/>
      <c r="C62" s="118"/>
      <c r="D62" s="118"/>
      <c r="E62" s="118"/>
      <c r="F62" s="118"/>
      <c r="G62" s="115"/>
      <c r="H62" s="118"/>
      <c r="I62" s="118"/>
      <c r="J62" s="118"/>
      <c r="K62" s="118"/>
      <c r="L62" s="118"/>
      <c r="M62" s="118"/>
      <c r="N62" s="115"/>
      <c r="O62" s="118"/>
      <c r="P62" s="118"/>
      <c r="Q62" s="118"/>
      <c r="R62" s="118"/>
      <c r="S62" s="118"/>
      <c r="T62" s="118"/>
      <c r="U62" s="115"/>
      <c r="V62" s="118"/>
      <c r="W62" s="118"/>
      <c r="X62" s="118"/>
      <c r="Y62" s="118"/>
      <c r="Z62" s="118"/>
      <c r="AA62" s="118"/>
      <c r="AB62" s="115"/>
      <c r="AC62" s="118"/>
      <c r="AD62" s="118"/>
      <c r="AE62" s="180"/>
      <c r="AF62" s="118"/>
      <c r="AG62" s="118"/>
      <c r="AH62" s="118"/>
      <c r="AI62" s="115"/>
      <c r="AJ62" s="118"/>
      <c r="AK62" s="118"/>
      <c r="AL62" s="118"/>
      <c r="AM62" s="115"/>
      <c r="AN62" s="115"/>
      <c r="AO62" s="118"/>
      <c r="AP62" s="115"/>
      <c r="AQ62" s="118"/>
      <c r="AR62" s="118"/>
      <c r="AS62" s="118"/>
      <c r="AT62" s="118"/>
      <c r="AU62" s="118"/>
      <c r="AV62" s="118"/>
      <c r="AW62" s="115"/>
      <c r="AX62" s="118"/>
      <c r="AY62" s="118"/>
      <c r="AZ62" s="118"/>
      <c r="BA62" s="118"/>
      <c r="BB62" s="118"/>
      <c r="BC62" s="118"/>
      <c r="BD62" s="115"/>
      <c r="BE62" s="118"/>
      <c r="BF62" s="118"/>
      <c r="BG62" s="118"/>
      <c r="BH62" s="118"/>
      <c r="BI62" s="118"/>
      <c r="BJ62" s="178"/>
      <c r="BK62" s="162"/>
      <c r="BQ62" s="111"/>
      <c r="BX62" s="111"/>
      <c r="CE62" s="111"/>
      <c r="CL62" s="111"/>
    </row>
    <row r="63" spans="1:92" ht="18.75" customHeight="1" x14ac:dyDescent="0.25">
      <c r="B63" s="112"/>
      <c r="C63" s="113"/>
      <c r="D63" s="113"/>
      <c r="E63" s="113"/>
      <c r="F63" s="120"/>
      <c r="G63" s="113"/>
      <c r="H63" s="113"/>
      <c r="I63" s="113"/>
      <c r="J63" s="113"/>
      <c r="K63" s="113"/>
      <c r="L63" s="113"/>
      <c r="M63" s="120"/>
      <c r="N63" s="113"/>
      <c r="O63" s="113"/>
      <c r="P63" s="113"/>
      <c r="Q63" s="113"/>
      <c r="R63" s="113"/>
      <c r="S63" s="113"/>
      <c r="T63" s="120"/>
      <c r="U63" s="113"/>
      <c r="V63" s="113"/>
      <c r="W63" s="113"/>
      <c r="X63" s="113"/>
      <c r="Y63" s="113"/>
      <c r="Z63" s="113"/>
      <c r="AA63" s="120"/>
      <c r="AB63" s="113"/>
      <c r="AC63" s="113"/>
      <c r="AD63" s="113"/>
      <c r="AE63" s="113"/>
      <c r="AF63" s="113"/>
      <c r="AG63" s="113"/>
      <c r="AH63" s="120"/>
      <c r="AI63" s="113"/>
      <c r="AJ63" s="113"/>
      <c r="AK63" s="113"/>
      <c r="AL63" s="113"/>
      <c r="AM63" s="113"/>
      <c r="AN63" s="113"/>
      <c r="AO63" s="120"/>
      <c r="AP63" s="113"/>
      <c r="AQ63" s="113"/>
      <c r="AR63" s="113"/>
      <c r="AS63" s="113"/>
      <c r="AT63" s="113"/>
      <c r="AU63" s="113"/>
      <c r="AV63" s="120"/>
      <c r="AW63" s="113"/>
      <c r="AX63" s="113"/>
      <c r="AY63" s="113"/>
      <c r="AZ63" s="113"/>
      <c r="BA63" s="113"/>
      <c r="BB63" s="113"/>
      <c r="BC63" s="120"/>
      <c r="BD63" s="113"/>
      <c r="BE63" s="113"/>
      <c r="BF63" s="113"/>
      <c r="BG63" s="113"/>
      <c r="BH63" s="113"/>
      <c r="BI63" s="113"/>
      <c r="BJ63" s="120"/>
      <c r="BK63" s="113"/>
      <c r="BL63" s="113"/>
      <c r="BM63" s="113"/>
      <c r="BN63" s="113"/>
      <c r="BO63" s="113"/>
      <c r="BP63" s="113"/>
      <c r="BQ63" s="120"/>
      <c r="BR63" s="113"/>
      <c r="BS63" s="113"/>
      <c r="BT63" s="113"/>
      <c r="BU63" s="113"/>
      <c r="BV63" s="113"/>
      <c r="BW63" s="113"/>
      <c r="BX63" s="120"/>
      <c r="BY63" s="113"/>
      <c r="BZ63" s="113"/>
      <c r="CA63" s="120"/>
      <c r="CB63" s="120"/>
      <c r="CC63" s="120"/>
      <c r="CD63" s="120"/>
      <c r="CE63" s="120"/>
      <c r="CF63" s="120"/>
      <c r="CG63" s="120"/>
      <c r="CH63" s="120"/>
      <c r="CI63" s="120"/>
      <c r="CJ63" s="120"/>
      <c r="CK63" s="120"/>
      <c r="CL63" s="120"/>
      <c r="CM63" s="120"/>
      <c r="CN63" s="120"/>
    </row>
    <row r="64" spans="1:92" ht="18" customHeight="1" x14ac:dyDescent="0.25">
      <c r="B64" s="113"/>
      <c r="C64" s="114"/>
      <c r="D64" s="112"/>
      <c r="E64" s="112"/>
      <c r="F64" s="120"/>
      <c r="G64" s="113"/>
      <c r="H64" s="113"/>
      <c r="I64" s="113"/>
      <c r="J64" s="113"/>
      <c r="K64" s="113"/>
      <c r="L64" s="113"/>
      <c r="M64" s="120"/>
      <c r="N64" s="113"/>
      <c r="O64" s="113"/>
      <c r="P64" s="113"/>
      <c r="Q64" s="113"/>
      <c r="R64" s="113"/>
      <c r="S64" s="113"/>
      <c r="T64" s="120"/>
      <c r="U64" s="113"/>
      <c r="V64" s="113"/>
      <c r="W64" s="113"/>
      <c r="X64" s="113"/>
      <c r="Y64" s="113"/>
      <c r="Z64" s="113"/>
      <c r="AA64" s="120"/>
      <c r="AB64" s="113"/>
      <c r="AC64" s="113"/>
      <c r="AD64" s="113"/>
      <c r="AE64" s="113"/>
      <c r="AF64" s="113"/>
      <c r="AG64" s="113"/>
      <c r="AH64" s="120"/>
      <c r="AI64" s="113"/>
      <c r="AJ64" s="113"/>
      <c r="AK64" s="113"/>
      <c r="AL64" s="113"/>
      <c r="AM64" s="113"/>
      <c r="AN64" s="113"/>
      <c r="AO64" s="120"/>
      <c r="AP64" s="113"/>
      <c r="AQ64" s="113"/>
      <c r="AR64" s="113"/>
      <c r="AS64" s="113"/>
      <c r="AT64" s="113"/>
      <c r="AU64" s="113"/>
      <c r="AV64" s="120"/>
      <c r="AW64" s="113"/>
      <c r="AX64" s="113"/>
      <c r="AY64" s="113"/>
      <c r="AZ64" s="113"/>
      <c r="BA64" s="113"/>
      <c r="BB64" s="113"/>
      <c r="BC64" s="120"/>
      <c r="BD64" s="113"/>
      <c r="BE64" s="113"/>
      <c r="BF64" s="113"/>
      <c r="BG64" s="113"/>
      <c r="BH64" s="113"/>
      <c r="BI64" s="113"/>
      <c r="BJ64" s="120"/>
      <c r="BK64" s="113"/>
      <c r="BL64" s="113"/>
      <c r="BM64" s="113"/>
      <c r="BN64" s="113"/>
      <c r="BO64" s="113"/>
      <c r="BP64" s="113"/>
      <c r="BQ64" s="120"/>
      <c r="BR64" s="113"/>
      <c r="BS64" s="113"/>
      <c r="BT64" s="113"/>
      <c r="BU64" s="113"/>
      <c r="BV64" s="113"/>
      <c r="BW64" s="113"/>
      <c r="BX64" s="120"/>
      <c r="BY64" s="113"/>
      <c r="BZ64" s="113"/>
      <c r="CA64" s="113"/>
      <c r="CB64" s="113"/>
      <c r="CC64" s="113"/>
      <c r="CD64" s="113"/>
      <c r="CE64" s="120"/>
      <c r="CF64" s="113"/>
      <c r="CG64" s="113"/>
      <c r="CH64" s="113"/>
      <c r="CI64" s="113"/>
      <c r="CJ64" s="113"/>
      <c r="CK64" s="113"/>
      <c r="CL64" s="120"/>
      <c r="CM64" s="113"/>
      <c r="CN64" s="113"/>
    </row>
    <row r="65" spans="2:92" ht="18" customHeight="1" x14ac:dyDescent="0.25">
      <c r="B65" s="113"/>
      <c r="C65" s="114"/>
      <c r="D65" s="112"/>
      <c r="E65" s="112"/>
      <c r="F65" s="120"/>
      <c r="G65" s="113"/>
      <c r="H65" s="113"/>
      <c r="I65" s="113"/>
      <c r="J65" s="113"/>
      <c r="K65" s="113"/>
      <c r="L65" s="113"/>
      <c r="M65" s="120"/>
      <c r="N65" s="113"/>
      <c r="O65" s="113"/>
      <c r="P65" s="113"/>
      <c r="Q65" s="113"/>
      <c r="R65" s="113"/>
      <c r="S65" s="113"/>
      <c r="T65" s="120"/>
      <c r="U65" s="113"/>
      <c r="V65" s="113"/>
      <c r="W65" s="113"/>
      <c r="X65" s="113"/>
      <c r="Y65" s="113"/>
      <c r="Z65" s="113"/>
      <c r="AA65" s="120"/>
      <c r="AB65" s="113"/>
      <c r="AC65" s="113"/>
      <c r="AD65" s="113"/>
      <c r="AE65" s="113"/>
      <c r="AF65" s="113"/>
      <c r="AG65" s="113"/>
      <c r="AH65" s="120"/>
      <c r="AI65" s="113"/>
      <c r="AJ65" s="113"/>
      <c r="AK65" s="113"/>
      <c r="AL65" s="113"/>
      <c r="AM65" s="113"/>
      <c r="AN65" s="113"/>
      <c r="AO65" s="120"/>
      <c r="AP65" s="113"/>
      <c r="AQ65" s="113"/>
      <c r="AR65" s="113"/>
      <c r="AS65" s="113"/>
      <c r="AT65" s="113"/>
      <c r="AU65" s="113"/>
      <c r="AV65" s="120"/>
      <c r="AW65" s="113"/>
      <c r="AX65" s="113"/>
      <c r="AY65" s="113"/>
      <c r="AZ65" s="113"/>
      <c r="BA65" s="113"/>
      <c r="BB65" s="113"/>
      <c r="BC65" s="120"/>
      <c r="BD65" s="113"/>
      <c r="BE65" s="113"/>
      <c r="BF65" s="113"/>
      <c r="BG65" s="113"/>
      <c r="BH65" s="113"/>
      <c r="BI65" s="113"/>
      <c r="BJ65" s="120"/>
      <c r="BK65" s="113"/>
      <c r="BL65" s="113"/>
      <c r="BM65" s="113"/>
      <c r="BN65" s="113"/>
      <c r="BO65" s="113"/>
      <c r="BP65" s="113"/>
      <c r="BQ65" s="120"/>
      <c r="BR65" s="113"/>
      <c r="BS65" s="113"/>
      <c r="BT65" s="113"/>
      <c r="BU65" s="113"/>
      <c r="BV65" s="113"/>
      <c r="BW65" s="113"/>
      <c r="BX65" s="120"/>
      <c r="BY65" s="113"/>
      <c r="BZ65" s="113"/>
      <c r="CA65" s="113"/>
      <c r="CB65" s="113"/>
      <c r="CC65" s="113"/>
      <c r="CD65" s="113"/>
      <c r="CE65" s="120"/>
      <c r="CF65" s="113"/>
      <c r="CG65" s="113"/>
      <c r="CH65" s="113"/>
      <c r="CI65" s="113"/>
      <c r="CJ65" s="113"/>
      <c r="CK65" s="113"/>
      <c r="CL65" s="120"/>
      <c r="CM65" s="113"/>
      <c r="CN65" s="113"/>
    </row>
    <row r="66" spans="2:92" ht="18" customHeight="1" x14ac:dyDescent="0.25">
      <c r="B66" s="113"/>
      <c r="C66" s="114"/>
      <c r="D66" s="112"/>
      <c r="E66" s="112"/>
      <c r="F66" s="120"/>
      <c r="G66" s="113"/>
      <c r="H66" s="113"/>
      <c r="I66" s="113"/>
      <c r="J66" s="113"/>
      <c r="K66" s="113"/>
      <c r="L66" s="113"/>
      <c r="M66" s="120"/>
      <c r="N66" s="113"/>
      <c r="O66" s="113"/>
      <c r="P66" s="113"/>
      <c r="Q66" s="113"/>
      <c r="R66" s="113"/>
      <c r="S66" s="113"/>
      <c r="T66" s="120"/>
      <c r="U66" s="113"/>
      <c r="V66" s="113"/>
      <c r="W66" s="113"/>
      <c r="X66" s="113"/>
      <c r="Y66" s="113"/>
      <c r="Z66" s="113"/>
      <c r="AA66" s="120"/>
      <c r="AB66" s="113"/>
      <c r="AC66" s="113"/>
      <c r="AD66" s="113"/>
      <c r="AE66" s="113"/>
      <c r="AF66" s="113"/>
      <c r="AG66" s="113"/>
      <c r="AH66" s="120"/>
      <c r="AI66" s="113"/>
      <c r="AJ66" s="113"/>
      <c r="AK66" s="113"/>
      <c r="AL66" s="113"/>
      <c r="AM66" s="113"/>
      <c r="AN66" s="113"/>
      <c r="AO66" s="120"/>
      <c r="AP66" s="113"/>
      <c r="AQ66" s="113"/>
      <c r="AR66" s="113"/>
      <c r="AS66" s="113"/>
      <c r="AT66" s="113"/>
      <c r="AU66" s="113"/>
      <c r="AV66" s="120"/>
      <c r="AW66" s="113"/>
      <c r="AX66" s="113"/>
      <c r="AY66" s="113"/>
      <c r="AZ66" s="113"/>
      <c r="BA66" s="113"/>
      <c r="BB66" s="113"/>
      <c r="BC66" s="120"/>
      <c r="BD66" s="113"/>
      <c r="BE66" s="113"/>
      <c r="BF66" s="113"/>
      <c r="BG66" s="113"/>
      <c r="BH66" s="113"/>
      <c r="BI66" s="113"/>
      <c r="BJ66" s="120"/>
      <c r="BK66" s="113"/>
      <c r="BL66" s="113"/>
      <c r="BM66" s="113"/>
      <c r="BN66" s="113"/>
      <c r="BO66" s="113"/>
      <c r="BP66" s="113"/>
      <c r="BQ66" s="120"/>
      <c r="BR66" s="113"/>
      <c r="BS66" s="113"/>
      <c r="BT66" s="113"/>
      <c r="BU66" s="113"/>
      <c r="BV66" s="113"/>
      <c r="BW66" s="113"/>
      <c r="BX66" s="120"/>
      <c r="BY66" s="113"/>
      <c r="BZ66" s="113"/>
      <c r="CA66" s="113"/>
      <c r="CB66" s="113"/>
      <c r="CC66" s="113"/>
      <c r="CD66" s="113"/>
      <c r="CE66" s="120"/>
      <c r="CF66" s="113"/>
      <c r="CG66" s="113"/>
      <c r="CH66" s="113"/>
      <c r="CI66" s="113"/>
      <c r="CJ66" s="113"/>
      <c r="CK66" s="113"/>
      <c r="CL66" s="120"/>
      <c r="CM66" s="113"/>
      <c r="CN66" s="113"/>
    </row>
    <row r="67" spans="2:92" ht="18" customHeight="1" x14ac:dyDescent="0.25">
      <c r="B67" s="113"/>
      <c r="C67" s="114"/>
      <c r="D67" s="112"/>
      <c r="E67" s="112"/>
      <c r="F67" s="120"/>
      <c r="G67" s="113"/>
      <c r="H67" s="113"/>
      <c r="I67" s="113"/>
      <c r="J67" s="113"/>
      <c r="K67" s="113"/>
      <c r="L67" s="113"/>
      <c r="M67" s="120"/>
      <c r="N67" s="113"/>
      <c r="O67" s="113"/>
      <c r="P67" s="113"/>
      <c r="Q67" s="113"/>
      <c r="R67" s="113"/>
      <c r="S67" s="113"/>
      <c r="T67" s="120"/>
      <c r="U67" s="113"/>
      <c r="V67" s="113"/>
      <c r="W67" s="113"/>
      <c r="X67" s="113"/>
      <c r="Y67" s="113"/>
      <c r="Z67" s="113"/>
      <c r="AA67" s="120"/>
      <c r="AB67" s="113"/>
      <c r="AC67" s="113"/>
      <c r="AD67" s="113"/>
      <c r="AE67" s="113"/>
      <c r="AF67" s="113"/>
      <c r="AG67" s="113"/>
      <c r="AH67" s="120"/>
      <c r="AI67" s="113"/>
      <c r="AJ67" s="113"/>
      <c r="AK67" s="113"/>
      <c r="AL67" s="113"/>
      <c r="AM67" s="113"/>
      <c r="AN67" s="113"/>
      <c r="AO67" s="120"/>
      <c r="AP67" s="113"/>
      <c r="AQ67" s="113"/>
      <c r="AR67" s="113"/>
      <c r="AS67" s="113"/>
      <c r="AT67" s="113"/>
      <c r="AU67" s="113"/>
      <c r="AV67" s="120"/>
      <c r="AW67" s="113"/>
      <c r="AX67" s="113"/>
      <c r="AY67" s="113"/>
      <c r="AZ67" s="113"/>
      <c r="BA67" s="113"/>
      <c r="BB67" s="113"/>
      <c r="BC67" s="120"/>
      <c r="BD67" s="113"/>
      <c r="BE67" s="113"/>
      <c r="BF67" s="113"/>
      <c r="BG67" s="113"/>
      <c r="BH67" s="113"/>
      <c r="BI67" s="113"/>
      <c r="BJ67" s="120"/>
      <c r="BK67" s="113"/>
      <c r="BL67" s="113"/>
      <c r="BM67" s="113"/>
      <c r="BN67" s="113"/>
      <c r="BO67" s="113"/>
      <c r="BP67" s="113"/>
      <c r="BQ67" s="120"/>
      <c r="BR67" s="113"/>
      <c r="BS67" s="113"/>
      <c r="BT67" s="113"/>
      <c r="BU67" s="113"/>
      <c r="BV67" s="113"/>
      <c r="BW67" s="113"/>
      <c r="BX67" s="120"/>
      <c r="BY67" s="113"/>
      <c r="BZ67" s="113"/>
      <c r="CA67" s="113"/>
      <c r="CB67" s="113"/>
      <c r="CC67" s="113"/>
      <c r="CD67" s="113"/>
      <c r="CE67" s="120"/>
      <c r="CF67" s="113"/>
      <c r="CG67" s="113"/>
      <c r="CH67" s="113"/>
      <c r="CI67" s="113"/>
      <c r="CJ67" s="113"/>
      <c r="CK67" s="113"/>
      <c r="CL67" s="120"/>
      <c r="CM67" s="113"/>
      <c r="CN67" s="113"/>
    </row>
    <row r="68" spans="2:92" ht="18" customHeight="1" x14ac:dyDescent="0.25">
      <c r="B68" s="113"/>
      <c r="C68" s="114"/>
      <c r="D68" s="112"/>
      <c r="E68" s="112"/>
      <c r="F68" s="120"/>
      <c r="G68" s="113"/>
      <c r="H68" s="113"/>
      <c r="I68" s="113"/>
      <c r="J68" s="113"/>
      <c r="K68" s="113"/>
      <c r="L68" s="113"/>
      <c r="M68" s="120"/>
      <c r="N68" s="113"/>
      <c r="O68" s="113"/>
      <c r="P68" s="113"/>
      <c r="Q68" s="113"/>
      <c r="R68" s="113"/>
      <c r="S68" s="113"/>
      <c r="T68" s="120"/>
      <c r="U68" s="113"/>
      <c r="V68" s="113"/>
      <c r="W68" s="113"/>
      <c r="X68" s="113"/>
      <c r="Y68" s="113"/>
      <c r="Z68" s="113"/>
      <c r="AA68" s="120"/>
      <c r="AB68" s="113"/>
      <c r="AC68" s="113"/>
      <c r="AD68" s="113"/>
      <c r="AE68" s="113"/>
      <c r="AF68" s="113"/>
      <c r="AG68" s="113"/>
      <c r="AH68" s="120"/>
      <c r="AI68" s="113"/>
      <c r="AJ68" s="113"/>
      <c r="AK68" s="113"/>
      <c r="AL68" s="113"/>
      <c r="AM68" s="113"/>
      <c r="AN68" s="113"/>
      <c r="AO68" s="120"/>
      <c r="AP68" s="113"/>
      <c r="AQ68" s="113"/>
      <c r="AR68" s="113"/>
      <c r="AS68" s="113"/>
      <c r="AT68" s="113"/>
      <c r="AU68" s="113"/>
      <c r="AV68" s="120"/>
      <c r="AW68" s="113"/>
      <c r="AX68" s="113"/>
      <c r="AY68" s="113"/>
      <c r="AZ68" s="113"/>
      <c r="BA68" s="113"/>
      <c r="BB68" s="113"/>
      <c r="BC68" s="120"/>
      <c r="BD68" s="113"/>
      <c r="BE68" s="113"/>
      <c r="BF68" s="113"/>
      <c r="BG68" s="113"/>
      <c r="BH68" s="113"/>
      <c r="BI68" s="113"/>
      <c r="BJ68" s="120"/>
      <c r="BK68" s="113"/>
      <c r="BL68" s="113"/>
      <c r="BM68" s="113"/>
      <c r="BN68" s="113"/>
      <c r="BO68" s="113"/>
      <c r="BP68" s="113"/>
      <c r="BQ68" s="120"/>
      <c r="BR68" s="113"/>
      <c r="BS68" s="113"/>
      <c r="BT68" s="113"/>
      <c r="BU68" s="113"/>
      <c r="BV68" s="113"/>
      <c r="BW68" s="113"/>
      <c r="BX68" s="120"/>
      <c r="BY68" s="113"/>
      <c r="BZ68" s="113"/>
      <c r="CA68" s="113"/>
      <c r="CB68" s="113"/>
      <c r="CC68" s="113"/>
      <c r="CD68" s="113"/>
      <c r="CE68" s="120"/>
      <c r="CF68" s="113"/>
      <c r="CG68" s="113"/>
      <c r="CH68" s="113"/>
      <c r="CI68" s="113"/>
      <c r="CJ68" s="113"/>
      <c r="CK68" s="113"/>
      <c r="CL68" s="120"/>
      <c r="CM68" s="113"/>
      <c r="CN68" s="113"/>
    </row>
    <row r="69" spans="2:92" ht="18" customHeight="1" x14ac:dyDescent="0.25">
      <c r="B69" s="113"/>
      <c r="C69" s="114"/>
      <c r="D69" s="112"/>
      <c r="E69" s="112"/>
      <c r="F69" s="120"/>
      <c r="G69" s="113"/>
      <c r="H69" s="113"/>
      <c r="I69" s="113"/>
      <c r="J69" s="113"/>
      <c r="K69" s="113"/>
      <c r="L69" s="113"/>
      <c r="M69" s="120"/>
      <c r="N69" s="113"/>
      <c r="O69" s="113"/>
      <c r="P69" s="113"/>
      <c r="Q69" s="113"/>
      <c r="R69" s="113"/>
      <c r="S69" s="113"/>
      <c r="T69" s="120"/>
      <c r="U69" s="113"/>
      <c r="V69" s="113"/>
      <c r="W69" s="113"/>
      <c r="X69" s="113"/>
      <c r="Y69" s="113"/>
      <c r="Z69" s="113"/>
      <c r="AA69" s="120"/>
      <c r="AB69" s="113"/>
      <c r="AC69" s="113"/>
      <c r="AD69" s="113"/>
      <c r="AE69" s="113"/>
      <c r="AF69" s="113"/>
      <c r="AG69" s="113"/>
      <c r="AH69" s="120"/>
      <c r="AI69" s="113"/>
      <c r="AJ69" s="113"/>
      <c r="AK69" s="113"/>
      <c r="AL69" s="113"/>
      <c r="AM69" s="113"/>
      <c r="AN69" s="113"/>
      <c r="AO69" s="120"/>
      <c r="AP69" s="113"/>
      <c r="AQ69" s="113"/>
      <c r="AR69" s="113"/>
      <c r="AS69" s="113"/>
      <c r="AT69" s="113"/>
      <c r="AU69" s="113"/>
      <c r="AV69" s="120"/>
      <c r="AW69" s="113"/>
      <c r="AX69" s="113"/>
      <c r="AY69" s="113"/>
      <c r="AZ69" s="113"/>
      <c r="BA69" s="113"/>
      <c r="BB69" s="113"/>
      <c r="BC69" s="120"/>
      <c r="BD69" s="113"/>
      <c r="BE69" s="113"/>
      <c r="BF69" s="113"/>
      <c r="BG69" s="113"/>
      <c r="BH69" s="113"/>
      <c r="BI69" s="113"/>
      <c r="BJ69" s="120"/>
      <c r="BK69" s="113"/>
      <c r="BL69" s="113"/>
      <c r="BM69" s="113"/>
      <c r="BN69" s="113"/>
      <c r="BO69" s="113"/>
      <c r="BP69" s="113"/>
      <c r="BQ69" s="120"/>
      <c r="BR69" s="113"/>
      <c r="BS69" s="113"/>
      <c r="BT69" s="113"/>
      <c r="BU69" s="113"/>
      <c r="BV69" s="113"/>
      <c r="BW69" s="113"/>
      <c r="BX69" s="120"/>
      <c r="BY69" s="113"/>
      <c r="BZ69" s="113"/>
      <c r="CA69" s="113"/>
      <c r="CB69" s="113"/>
      <c r="CC69" s="113"/>
      <c r="CD69" s="113"/>
      <c r="CE69" s="120"/>
      <c r="CF69" s="113"/>
      <c r="CG69" s="113"/>
      <c r="CH69" s="113"/>
      <c r="CI69" s="113"/>
      <c r="CJ69" s="113"/>
      <c r="CK69" s="113"/>
      <c r="CL69" s="120"/>
      <c r="CM69" s="113"/>
      <c r="CN69" s="113"/>
    </row>
    <row r="70" spans="2:92" ht="18" customHeight="1" x14ac:dyDescent="0.25">
      <c r="B70" s="113"/>
      <c r="C70" s="114"/>
      <c r="D70" s="112"/>
      <c r="E70" s="112"/>
      <c r="F70" s="120"/>
      <c r="G70" s="113"/>
      <c r="H70" s="113"/>
      <c r="I70" s="113"/>
      <c r="J70" s="113"/>
      <c r="K70" s="113"/>
      <c r="L70" s="113"/>
      <c r="M70" s="120"/>
      <c r="N70" s="113"/>
      <c r="O70" s="113"/>
      <c r="P70" s="113"/>
      <c r="Q70" s="113"/>
      <c r="R70" s="113"/>
      <c r="S70" s="113"/>
      <c r="T70" s="120"/>
      <c r="U70" s="113"/>
      <c r="V70" s="113"/>
      <c r="W70" s="113"/>
      <c r="X70" s="113"/>
      <c r="Y70" s="113"/>
      <c r="Z70" s="113"/>
      <c r="AA70" s="120"/>
      <c r="AB70" s="113"/>
      <c r="AC70" s="113"/>
      <c r="AD70" s="113"/>
      <c r="AE70" s="113"/>
      <c r="AF70" s="113"/>
      <c r="AG70" s="113"/>
      <c r="AH70" s="120"/>
      <c r="AI70" s="113"/>
      <c r="AJ70" s="113"/>
      <c r="AK70" s="113"/>
      <c r="AL70" s="113"/>
      <c r="AM70" s="113"/>
      <c r="AN70" s="113"/>
      <c r="AO70" s="120"/>
      <c r="AP70" s="113"/>
      <c r="AQ70" s="113"/>
      <c r="AR70" s="113"/>
      <c r="AS70" s="113"/>
      <c r="AT70" s="113"/>
      <c r="AU70" s="113"/>
      <c r="AV70" s="120"/>
      <c r="AW70" s="113"/>
      <c r="AX70" s="113"/>
      <c r="AY70" s="113"/>
      <c r="AZ70" s="113"/>
      <c r="BA70" s="113"/>
      <c r="BB70" s="113"/>
      <c r="BC70" s="120"/>
      <c r="BD70" s="113"/>
      <c r="BE70" s="113"/>
      <c r="BF70" s="113"/>
      <c r="BG70" s="113"/>
      <c r="BH70" s="113"/>
      <c r="BI70" s="113"/>
      <c r="BJ70" s="120"/>
      <c r="BK70" s="113"/>
      <c r="BL70" s="113"/>
      <c r="BM70" s="113"/>
      <c r="BN70" s="113"/>
      <c r="BO70" s="113"/>
      <c r="BP70" s="113"/>
      <c r="BQ70" s="120"/>
      <c r="BR70" s="113"/>
      <c r="BS70" s="113"/>
      <c r="BT70" s="113"/>
      <c r="BU70" s="113"/>
      <c r="BV70" s="113"/>
      <c r="BW70" s="113"/>
      <c r="BX70" s="120"/>
      <c r="BY70" s="113"/>
      <c r="BZ70" s="113"/>
      <c r="CA70" s="113"/>
      <c r="CB70" s="113"/>
      <c r="CC70" s="113"/>
      <c r="CD70" s="113"/>
      <c r="CE70" s="120"/>
      <c r="CF70" s="113"/>
      <c r="CG70" s="113"/>
      <c r="CH70" s="113"/>
      <c r="CI70" s="113"/>
      <c r="CJ70" s="113"/>
      <c r="CK70" s="113"/>
      <c r="CL70" s="120"/>
      <c r="CM70" s="113"/>
      <c r="CN70" s="113"/>
    </row>
    <row r="71" spans="2:92" ht="18" customHeight="1" x14ac:dyDescent="0.25">
      <c r="B71" s="113"/>
      <c r="C71" s="114"/>
      <c r="D71" s="112"/>
      <c r="E71" s="112"/>
      <c r="F71" s="120"/>
      <c r="G71" s="113"/>
      <c r="H71" s="113"/>
      <c r="I71" s="113"/>
      <c r="J71" s="113"/>
      <c r="K71" s="113"/>
      <c r="L71" s="113"/>
      <c r="M71" s="120"/>
      <c r="N71" s="113"/>
      <c r="O71" s="113"/>
      <c r="P71" s="113"/>
      <c r="Q71" s="113"/>
      <c r="R71" s="113"/>
      <c r="S71" s="113"/>
      <c r="T71" s="120"/>
      <c r="U71" s="113"/>
      <c r="V71" s="113"/>
      <c r="W71" s="113"/>
      <c r="X71" s="113"/>
      <c r="Y71" s="113"/>
      <c r="Z71" s="113"/>
      <c r="AA71" s="120"/>
      <c r="AB71" s="113"/>
      <c r="AC71" s="113"/>
      <c r="AD71" s="113"/>
      <c r="AE71" s="113"/>
      <c r="AF71" s="113"/>
      <c r="AG71" s="113"/>
      <c r="AH71" s="120"/>
      <c r="AI71" s="113"/>
      <c r="AJ71" s="113"/>
      <c r="AK71" s="113"/>
      <c r="AL71" s="113"/>
      <c r="AM71" s="113"/>
      <c r="AN71" s="113"/>
      <c r="AO71" s="120"/>
      <c r="AP71" s="113"/>
      <c r="AQ71" s="113"/>
      <c r="AR71" s="113"/>
      <c r="AS71" s="113"/>
      <c r="AT71" s="113"/>
      <c r="AU71" s="113"/>
      <c r="AV71" s="120"/>
      <c r="AW71" s="113"/>
      <c r="AX71" s="113"/>
      <c r="AY71" s="113"/>
      <c r="AZ71" s="113"/>
      <c r="BA71" s="113"/>
      <c r="BB71" s="113"/>
      <c r="BC71" s="120"/>
      <c r="BD71" s="113"/>
      <c r="BE71" s="113"/>
      <c r="BF71" s="113"/>
      <c r="BG71" s="113"/>
      <c r="BH71" s="113"/>
      <c r="BI71" s="113"/>
      <c r="BJ71" s="120"/>
      <c r="BK71" s="113"/>
      <c r="BL71" s="113"/>
      <c r="BM71" s="113"/>
      <c r="BN71" s="113"/>
      <c r="BO71" s="113"/>
      <c r="BP71" s="113"/>
      <c r="BQ71" s="120"/>
      <c r="BR71" s="113"/>
      <c r="BS71" s="113"/>
      <c r="BT71" s="113"/>
      <c r="BU71" s="113"/>
      <c r="BV71" s="113"/>
      <c r="BW71" s="113"/>
      <c r="BX71" s="120"/>
      <c r="BY71" s="113"/>
      <c r="BZ71" s="113"/>
      <c r="CA71" s="113"/>
      <c r="CB71" s="113"/>
      <c r="CC71" s="113"/>
      <c r="CD71" s="113"/>
      <c r="CE71" s="120"/>
      <c r="CF71" s="113"/>
      <c r="CG71" s="113"/>
      <c r="CH71" s="113"/>
      <c r="CI71" s="113"/>
      <c r="CJ71" s="113"/>
      <c r="CK71" s="113"/>
      <c r="CL71" s="120"/>
      <c r="CM71" s="113"/>
      <c r="CN71" s="113"/>
    </row>
    <row r="72" spans="2:92" ht="18" customHeight="1" x14ac:dyDescent="0.25">
      <c r="B72" s="113"/>
      <c r="C72" s="114"/>
      <c r="D72" s="112"/>
      <c r="E72" s="112"/>
      <c r="F72" s="120"/>
      <c r="G72" s="113"/>
      <c r="H72" s="113"/>
      <c r="I72" s="113"/>
      <c r="J72" s="113"/>
      <c r="K72" s="113"/>
      <c r="L72" s="113"/>
      <c r="M72" s="120"/>
      <c r="N72" s="113"/>
      <c r="O72" s="113"/>
      <c r="P72" s="113"/>
      <c r="Q72" s="113"/>
      <c r="R72" s="113"/>
      <c r="S72" s="113"/>
      <c r="T72" s="120"/>
      <c r="U72" s="113"/>
      <c r="V72" s="113"/>
      <c r="W72" s="113"/>
      <c r="X72" s="113"/>
      <c r="Y72" s="113"/>
      <c r="Z72" s="113"/>
      <c r="AA72" s="120"/>
      <c r="AB72" s="113"/>
      <c r="AC72" s="113"/>
      <c r="AD72" s="113"/>
      <c r="AE72" s="113"/>
      <c r="AF72" s="113"/>
      <c r="AG72" s="113"/>
      <c r="AH72" s="120"/>
      <c r="AI72" s="113"/>
      <c r="AJ72" s="113"/>
      <c r="AK72" s="113"/>
      <c r="AL72" s="113"/>
      <c r="AM72" s="113"/>
      <c r="AN72" s="113"/>
      <c r="AO72" s="120"/>
      <c r="AP72" s="113"/>
      <c r="AQ72" s="113"/>
      <c r="AR72" s="113"/>
      <c r="AS72" s="113"/>
      <c r="AT72" s="113"/>
      <c r="AU72" s="113"/>
      <c r="AV72" s="120"/>
      <c r="AW72" s="113"/>
      <c r="AX72" s="113"/>
      <c r="AY72" s="113"/>
      <c r="AZ72" s="113"/>
      <c r="BA72" s="113"/>
      <c r="BB72" s="113"/>
      <c r="BC72" s="120"/>
      <c r="BD72" s="113"/>
      <c r="BE72" s="113"/>
      <c r="BF72" s="113"/>
      <c r="BG72" s="113"/>
      <c r="BH72" s="113"/>
      <c r="BI72" s="113"/>
      <c r="BJ72" s="120"/>
      <c r="BK72" s="113"/>
      <c r="BL72" s="113"/>
      <c r="BM72" s="113"/>
      <c r="BN72" s="113"/>
      <c r="BO72" s="113"/>
      <c r="BP72" s="113"/>
      <c r="BQ72" s="120"/>
      <c r="BR72" s="113"/>
      <c r="BS72" s="113"/>
      <c r="BT72" s="113"/>
      <c r="BU72" s="113"/>
      <c r="BV72" s="113"/>
      <c r="BW72" s="113"/>
      <c r="BX72" s="120"/>
      <c r="BY72" s="113"/>
      <c r="BZ72" s="113"/>
      <c r="CA72" s="113"/>
      <c r="CB72" s="113"/>
      <c r="CC72" s="113"/>
      <c r="CD72" s="113"/>
      <c r="CE72" s="120"/>
      <c r="CF72" s="113"/>
      <c r="CG72" s="113"/>
      <c r="CH72" s="113"/>
      <c r="CI72" s="113"/>
      <c r="CJ72" s="113"/>
      <c r="CK72" s="113"/>
      <c r="CL72" s="120"/>
      <c r="CM72" s="113"/>
      <c r="CN72" s="113"/>
    </row>
    <row r="73" spans="2:92" ht="18" customHeight="1" x14ac:dyDescent="0.25">
      <c r="B73" s="113"/>
      <c r="C73" s="114"/>
      <c r="D73" s="112"/>
      <c r="E73" s="112"/>
      <c r="F73" s="120"/>
      <c r="G73" s="113"/>
      <c r="H73" s="113"/>
      <c r="I73" s="113"/>
      <c r="J73" s="113"/>
      <c r="K73" s="113"/>
      <c r="L73" s="113"/>
      <c r="M73" s="120"/>
      <c r="N73" s="113"/>
      <c r="O73" s="113"/>
      <c r="P73" s="113"/>
      <c r="Q73" s="113"/>
      <c r="R73" s="113"/>
      <c r="S73" s="113"/>
      <c r="T73" s="120"/>
      <c r="U73" s="113"/>
      <c r="V73" s="113"/>
      <c r="W73" s="113"/>
      <c r="X73" s="113"/>
      <c r="Y73" s="113"/>
      <c r="Z73" s="113"/>
      <c r="AA73" s="120"/>
      <c r="AB73" s="113"/>
      <c r="AC73" s="113"/>
      <c r="AD73" s="113"/>
      <c r="AE73" s="113"/>
      <c r="AF73" s="113"/>
      <c r="AG73" s="113"/>
      <c r="AH73" s="120"/>
      <c r="AI73" s="113"/>
      <c r="AJ73" s="113"/>
      <c r="AK73" s="113"/>
      <c r="AL73" s="113"/>
      <c r="AM73" s="113"/>
      <c r="AN73" s="113"/>
      <c r="AO73" s="120"/>
      <c r="AP73" s="113"/>
      <c r="AQ73" s="113"/>
      <c r="AR73" s="113"/>
      <c r="AS73" s="113"/>
      <c r="AT73" s="113"/>
      <c r="AU73" s="113"/>
      <c r="AV73" s="120"/>
      <c r="AW73" s="113"/>
      <c r="AX73" s="113"/>
      <c r="AY73" s="113"/>
      <c r="AZ73" s="113"/>
      <c r="BA73" s="113"/>
      <c r="BB73" s="113"/>
      <c r="BC73" s="120"/>
      <c r="BD73" s="113"/>
      <c r="BE73" s="113"/>
      <c r="BF73" s="113"/>
      <c r="BG73" s="113"/>
      <c r="BH73" s="113"/>
      <c r="BI73" s="113"/>
      <c r="BJ73" s="120"/>
      <c r="BK73" s="113"/>
      <c r="BL73" s="113"/>
      <c r="BM73" s="113"/>
      <c r="BN73" s="113"/>
      <c r="BO73" s="113"/>
      <c r="BP73" s="113"/>
      <c r="BQ73" s="120"/>
      <c r="BR73" s="113"/>
      <c r="BS73" s="113"/>
      <c r="BT73" s="113"/>
      <c r="BU73" s="113"/>
      <c r="BV73" s="113"/>
      <c r="BW73" s="113"/>
      <c r="BX73" s="120"/>
      <c r="BY73" s="113"/>
      <c r="BZ73" s="113"/>
      <c r="CA73" s="113"/>
      <c r="CB73" s="113"/>
      <c r="CC73" s="113"/>
      <c r="CD73" s="113"/>
      <c r="CE73" s="120"/>
      <c r="CF73" s="113"/>
      <c r="CG73" s="113"/>
      <c r="CH73" s="113"/>
      <c r="CI73" s="113"/>
      <c r="CJ73" s="113"/>
      <c r="CK73" s="113"/>
      <c r="CL73" s="120"/>
      <c r="CM73" s="113"/>
      <c r="CN73" s="113"/>
    </row>
    <row r="74" spans="2:92" ht="18" customHeight="1" x14ac:dyDescent="0.25">
      <c r="B74" s="113"/>
      <c r="C74" s="114"/>
      <c r="D74" s="112"/>
      <c r="E74" s="112"/>
      <c r="F74" s="120"/>
      <c r="G74" s="113"/>
      <c r="H74" s="113"/>
      <c r="I74" s="113"/>
      <c r="J74" s="113"/>
      <c r="K74" s="113"/>
      <c r="L74" s="113"/>
      <c r="M74" s="120"/>
      <c r="N74" s="113"/>
      <c r="O74" s="113"/>
      <c r="P74" s="113"/>
      <c r="Q74" s="113"/>
      <c r="R74" s="113"/>
      <c r="S74" s="113"/>
      <c r="T74" s="120"/>
      <c r="U74" s="113"/>
      <c r="V74" s="113"/>
      <c r="W74" s="113"/>
      <c r="X74" s="113"/>
      <c r="Y74" s="113"/>
      <c r="Z74" s="113"/>
      <c r="AA74" s="120"/>
      <c r="AB74" s="113"/>
      <c r="AC74" s="113"/>
      <c r="AD74" s="113"/>
      <c r="AE74" s="113"/>
      <c r="AF74" s="113"/>
      <c r="AG74" s="113"/>
      <c r="AH74" s="120"/>
      <c r="AI74" s="113"/>
      <c r="AJ74" s="113"/>
      <c r="AK74" s="113"/>
      <c r="AL74" s="113"/>
      <c r="AM74" s="113"/>
      <c r="AN74" s="113"/>
      <c r="AO74" s="120"/>
      <c r="AP74" s="113"/>
      <c r="AQ74" s="113"/>
      <c r="AR74" s="113"/>
      <c r="AS74" s="113"/>
      <c r="AT74" s="113"/>
      <c r="AU74" s="113"/>
      <c r="AV74" s="120"/>
      <c r="AW74" s="113"/>
      <c r="AX74" s="113"/>
      <c r="AY74" s="113"/>
      <c r="AZ74" s="113"/>
      <c r="BA74" s="113"/>
      <c r="BB74" s="113"/>
      <c r="BC74" s="120"/>
      <c r="BD74" s="113"/>
      <c r="BE74" s="113"/>
      <c r="BF74" s="113"/>
      <c r="BG74" s="113"/>
      <c r="BH74" s="113"/>
      <c r="BI74" s="113"/>
      <c r="BJ74" s="120"/>
      <c r="BK74" s="113"/>
      <c r="BL74" s="113"/>
      <c r="BM74" s="113"/>
      <c r="BN74" s="113"/>
      <c r="BO74" s="113"/>
      <c r="BP74" s="113"/>
      <c r="BQ74" s="120"/>
      <c r="BR74" s="113"/>
      <c r="BS74" s="113"/>
      <c r="BT74" s="113"/>
      <c r="BU74" s="113"/>
      <c r="BV74" s="113"/>
      <c r="BW74" s="113"/>
      <c r="BX74" s="120"/>
      <c r="BY74" s="113"/>
      <c r="BZ74" s="113"/>
      <c r="CA74" s="113"/>
      <c r="CB74" s="113"/>
      <c r="CC74" s="113"/>
      <c r="CD74" s="113"/>
      <c r="CE74" s="120"/>
      <c r="CF74" s="113"/>
      <c r="CG74" s="113"/>
      <c r="CH74" s="113"/>
      <c r="CI74" s="113"/>
      <c r="CJ74" s="113"/>
      <c r="CK74" s="113"/>
      <c r="CL74" s="120"/>
      <c r="CM74" s="113"/>
      <c r="CN74" s="113"/>
    </row>
    <row r="75" spans="2:92" ht="18" customHeight="1" x14ac:dyDescent="0.25">
      <c r="B75" s="113"/>
      <c r="C75" s="114"/>
      <c r="D75" s="112"/>
      <c r="E75" s="112"/>
      <c r="F75" s="120"/>
      <c r="G75" s="113"/>
      <c r="H75" s="113"/>
      <c r="I75" s="113"/>
      <c r="J75" s="113"/>
      <c r="K75" s="113"/>
      <c r="L75" s="113"/>
      <c r="M75" s="120"/>
      <c r="N75" s="113"/>
      <c r="O75" s="113"/>
      <c r="P75" s="113"/>
      <c r="Q75" s="113"/>
      <c r="R75" s="113"/>
      <c r="S75" s="113"/>
      <c r="T75" s="120"/>
      <c r="U75" s="113"/>
      <c r="V75" s="113"/>
      <c r="W75" s="113"/>
      <c r="X75" s="113"/>
      <c r="Y75" s="113"/>
      <c r="Z75" s="113"/>
      <c r="AA75" s="120"/>
      <c r="AB75" s="113"/>
      <c r="AC75" s="113"/>
      <c r="AD75" s="113"/>
      <c r="AE75" s="113"/>
      <c r="AF75" s="113"/>
      <c r="AG75" s="113"/>
      <c r="AH75" s="120"/>
      <c r="AI75" s="113"/>
      <c r="AJ75" s="113"/>
      <c r="AK75" s="113"/>
      <c r="AL75" s="113"/>
      <c r="AM75" s="113"/>
      <c r="AN75" s="113"/>
      <c r="AO75" s="120"/>
      <c r="AP75" s="113"/>
      <c r="AQ75" s="113"/>
      <c r="AR75" s="113"/>
      <c r="AS75" s="113"/>
      <c r="AT75" s="113"/>
      <c r="AU75" s="113"/>
      <c r="AV75" s="120"/>
      <c r="AW75" s="113"/>
      <c r="AX75" s="113"/>
      <c r="AY75" s="113"/>
      <c r="AZ75" s="113"/>
      <c r="BA75" s="113"/>
      <c r="BB75" s="113"/>
      <c r="BC75" s="120"/>
      <c r="BD75" s="113"/>
      <c r="BE75" s="113"/>
      <c r="BF75" s="113"/>
      <c r="BG75" s="113"/>
      <c r="BH75" s="113"/>
      <c r="BI75" s="113"/>
      <c r="BJ75" s="120"/>
      <c r="BK75" s="113"/>
      <c r="BL75" s="113"/>
      <c r="BM75" s="113"/>
      <c r="BN75" s="113"/>
      <c r="BO75" s="113"/>
      <c r="BP75" s="113"/>
      <c r="BQ75" s="120"/>
      <c r="BR75" s="113"/>
      <c r="BS75" s="113"/>
      <c r="BT75" s="113"/>
      <c r="BU75" s="113"/>
      <c r="BV75" s="113"/>
      <c r="BW75" s="113"/>
      <c r="BX75" s="120"/>
      <c r="BY75" s="113"/>
      <c r="BZ75" s="113"/>
      <c r="CA75" s="113"/>
      <c r="CB75" s="113"/>
      <c r="CC75" s="113"/>
      <c r="CD75" s="113"/>
      <c r="CE75" s="120"/>
      <c r="CF75" s="113"/>
      <c r="CG75" s="113"/>
      <c r="CH75" s="113"/>
      <c r="CI75" s="113"/>
      <c r="CJ75" s="113"/>
      <c r="CK75" s="113"/>
      <c r="CL75" s="120"/>
      <c r="CM75" s="113"/>
      <c r="CN75" s="113"/>
    </row>
    <row r="76" spans="2:92" ht="18" customHeight="1" x14ac:dyDescent="0.25">
      <c r="B76" s="113"/>
      <c r="C76" s="114"/>
      <c r="D76" s="112"/>
      <c r="E76" s="112"/>
      <c r="F76" s="120"/>
      <c r="G76" s="113"/>
      <c r="H76" s="113"/>
      <c r="I76" s="113"/>
      <c r="J76" s="113"/>
      <c r="K76" s="113"/>
      <c r="L76" s="113"/>
      <c r="M76" s="120"/>
      <c r="N76" s="113"/>
      <c r="O76" s="113"/>
      <c r="P76" s="113"/>
      <c r="Q76" s="113"/>
      <c r="R76" s="113"/>
      <c r="S76" s="113"/>
      <c r="T76" s="120"/>
      <c r="U76" s="113"/>
      <c r="V76" s="113"/>
      <c r="W76" s="113"/>
      <c r="X76" s="113"/>
      <c r="Y76" s="113"/>
      <c r="Z76" s="113"/>
      <c r="AA76" s="120"/>
      <c r="AB76" s="113"/>
      <c r="AC76" s="113"/>
      <c r="AD76" s="113"/>
      <c r="AE76" s="113"/>
      <c r="AF76" s="113"/>
      <c r="AG76" s="113"/>
      <c r="AH76" s="120"/>
      <c r="AI76" s="113"/>
      <c r="AJ76" s="113"/>
      <c r="AK76" s="113"/>
      <c r="AL76" s="113"/>
      <c r="AM76" s="113"/>
      <c r="AN76" s="113"/>
      <c r="AO76" s="120"/>
      <c r="AP76" s="113"/>
      <c r="AQ76" s="113"/>
      <c r="AR76" s="113"/>
      <c r="AS76" s="113"/>
      <c r="AT76" s="113"/>
      <c r="AU76" s="113"/>
      <c r="AV76" s="120"/>
      <c r="AW76" s="113"/>
      <c r="AX76" s="113"/>
      <c r="AY76" s="113"/>
      <c r="AZ76" s="113"/>
      <c r="BA76" s="113"/>
      <c r="BB76" s="113"/>
      <c r="BC76" s="120"/>
      <c r="BD76" s="113"/>
      <c r="BE76" s="113"/>
      <c r="BF76" s="113"/>
      <c r="BG76" s="113"/>
      <c r="BH76" s="113"/>
      <c r="BI76" s="113"/>
      <c r="BJ76" s="120"/>
      <c r="BK76" s="113"/>
      <c r="BL76" s="113"/>
      <c r="BM76" s="113"/>
      <c r="BN76" s="113"/>
      <c r="BO76" s="113"/>
      <c r="BP76" s="113"/>
      <c r="BQ76" s="120"/>
      <c r="BR76" s="113"/>
      <c r="BS76" s="113"/>
      <c r="BT76" s="113"/>
      <c r="BU76" s="113"/>
      <c r="BV76" s="113"/>
      <c r="BW76" s="113"/>
      <c r="BX76" s="120"/>
      <c r="BY76" s="113"/>
      <c r="BZ76" s="113"/>
      <c r="CA76" s="113"/>
      <c r="CB76" s="113"/>
      <c r="CC76" s="113"/>
      <c r="CD76" s="113"/>
      <c r="CE76" s="120"/>
      <c r="CF76" s="113"/>
      <c r="CG76" s="113"/>
      <c r="CH76" s="113"/>
      <c r="CI76" s="113"/>
      <c r="CJ76" s="113"/>
      <c r="CK76" s="113"/>
      <c r="CL76" s="120"/>
      <c r="CM76" s="113"/>
      <c r="CN76" s="113"/>
    </row>
    <row r="77" spans="2:92" ht="18" customHeight="1" x14ac:dyDescent="0.25">
      <c r="B77" s="113"/>
      <c r="C77" s="114"/>
      <c r="D77" s="112"/>
      <c r="E77" s="112"/>
      <c r="F77" s="120"/>
      <c r="G77" s="113"/>
      <c r="H77" s="113"/>
      <c r="I77" s="113"/>
      <c r="J77" s="113"/>
      <c r="K77" s="113"/>
      <c r="L77" s="113"/>
      <c r="M77" s="120"/>
      <c r="N77" s="113"/>
      <c r="O77" s="113"/>
      <c r="P77" s="113"/>
      <c r="Q77" s="113"/>
      <c r="R77" s="113"/>
      <c r="S77" s="113"/>
      <c r="T77" s="120"/>
      <c r="U77" s="113"/>
      <c r="V77" s="113"/>
      <c r="W77" s="113"/>
      <c r="X77" s="113"/>
      <c r="Y77" s="113"/>
      <c r="Z77" s="113"/>
      <c r="AA77" s="120"/>
      <c r="AB77" s="113"/>
      <c r="AC77" s="113"/>
      <c r="AD77" s="113"/>
      <c r="AE77" s="113"/>
      <c r="AF77" s="113"/>
      <c r="AG77" s="113"/>
      <c r="AH77" s="120"/>
      <c r="AI77" s="113"/>
      <c r="AJ77" s="113"/>
      <c r="AK77" s="113"/>
      <c r="AL77" s="113"/>
      <c r="AM77" s="113"/>
      <c r="AN77" s="113"/>
      <c r="AO77" s="120"/>
      <c r="AP77" s="113"/>
      <c r="AQ77" s="113"/>
      <c r="AR77" s="113"/>
      <c r="AS77" s="113"/>
      <c r="AT77" s="113"/>
      <c r="AU77" s="113"/>
      <c r="AV77" s="120"/>
      <c r="AW77" s="113"/>
      <c r="AX77" s="113"/>
      <c r="AY77" s="113"/>
      <c r="AZ77" s="113"/>
      <c r="BA77" s="113"/>
      <c r="BB77" s="113"/>
      <c r="BC77" s="120"/>
      <c r="BD77" s="113"/>
      <c r="BE77" s="113"/>
      <c r="BF77" s="113"/>
      <c r="BG77" s="113"/>
      <c r="BH77" s="113"/>
      <c r="BI77" s="113"/>
      <c r="BJ77" s="120"/>
      <c r="BK77" s="113"/>
      <c r="BL77" s="113"/>
      <c r="BM77" s="113"/>
      <c r="BN77" s="113"/>
      <c r="BO77" s="113"/>
      <c r="BP77" s="113"/>
      <c r="BQ77" s="120"/>
      <c r="BR77" s="113"/>
      <c r="BS77" s="113"/>
      <c r="BT77" s="113"/>
      <c r="BU77" s="113"/>
      <c r="BV77" s="113"/>
      <c r="BW77" s="113"/>
      <c r="BX77" s="120"/>
      <c r="BY77" s="113"/>
      <c r="BZ77" s="113"/>
      <c r="CA77" s="113"/>
      <c r="CB77" s="113"/>
      <c r="CC77" s="113"/>
      <c r="CD77" s="113"/>
      <c r="CE77" s="120"/>
      <c r="CF77" s="113"/>
      <c r="CG77" s="113"/>
      <c r="CH77" s="113"/>
      <c r="CI77" s="113"/>
      <c r="CJ77" s="113"/>
      <c r="CK77" s="113"/>
      <c r="CL77" s="120"/>
      <c r="CM77" s="113"/>
      <c r="CN77" s="113"/>
    </row>
    <row r="78" spans="2:92" ht="18" customHeight="1" x14ac:dyDescent="0.25">
      <c r="B78" s="113"/>
      <c r="C78" s="114"/>
      <c r="D78" s="112"/>
      <c r="E78" s="112"/>
      <c r="F78" s="120"/>
      <c r="G78" s="113"/>
      <c r="H78" s="113"/>
      <c r="I78" s="113"/>
      <c r="J78" s="113"/>
      <c r="K78" s="113"/>
      <c r="L78" s="113"/>
      <c r="M78" s="120"/>
      <c r="N78" s="113"/>
      <c r="O78" s="113"/>
      <c r="P78" s="113"/>
      <c r="Q78" s="113"/>
      <c r="R78" s="113"/>
      <c r="S78" s="113"/>
      <c r="T78" s="120"/>
      <c r="U78" s="113"/>
      <c r="V78" s="113"/>
      <c r="W78" s="113"/>
      <c r="X78" s="113"/>
      <c r="Y78" s="113"/>
      <c r="Z78" s="113"/>
      <c r="AA78" s="120"/>
      <c r="AB78" s="113"/>
      <c r="AC78" s="113"/>
      <c r="AD78" s="113"/>
      <c r="AE78" s="113"/>
      <c r="AF78" s="113"/>
      <c r="AG78" s="113"/>
      <c r="AH78" s="120"/>
      <c r="AI78" s="113"/>
      <c r="AJ78" s="113"/>
      <c r="AK78" s="113"/>
      <c r="AL78" s="113"/>
      <c r="AM78" s="113"/>
      <c r="AN78" s="113"/>
      <c r="AO78" s="120"/>
      <c r="AP78" s="113"/>
      <c r="AQ78" s="113"/>
      <c r="AR78" s="113"/>
      <c r="AS78" s="113"/>
      <c r="AT78" s="113"/>
      <c r="AU78" s="113"/>
      <c r="AV78" s="120"/>
      <c r="AW78" s="113"/>
      <c r="AX78" s="113"/>
      <c r="AY78" s="113"/>
      <c r="AZ78" s="113"/>
      <c r="BA78" s="113"/>
      <c r="BB78" s="113"/>
      <c r="BC78" s="120"/>
      <c r="BD78" s="113"/>
      <c r="BE78" s="113"/>
      <c r="BF78" s="113"/>
      <c r="BG78" s="113"/>
      <c r="BH78" s="113"/>
      <c r="BI78" s="113"/>
      <c r="BJ78" s="120"/>
      <c r="BK78" s="113"/>
      <c r="BL78" s="113"/>
      <c r="BM78" s="113"/>
      <c r="BN78" s="113"/>
      <c r="BO78" s="113"/>
      <c r="BP78" s="113"/>
      <c r="BQ78" s="120"/>
      <c r="BR78" s="113"/>
      <c r="BS78" s="113"/>
      <c r="BT78" s="113"/>
      <c r="BU78" s="113"/>
      <c r="BV78" s="113"/>
      <c r="BW78" s="113"/>
      <c r="BX78" s="120"/>
      <c r="BY78" s="113"/>
      <c r="BZ78" s="113"/>
      <c r="CA78" s="113"/>
      <c r="CB78" s="113"/>
      <c r="CC78" s="113"/>
      <c r="CD78" s="113"/>
      <c r="CE78" s="120"/>
      <c r="CF78" s="113"/>
      <c r="CG78" s="113"/>
      <c r="CH78" s="113"/>
      <c r="CI78" s="113"/>
      <c r="CJ78" s="113"/>
      <c r="CK78" s="113"/>
      <c r="CL78" s="120"/>
      <c r="CM78" s="113"/>
      <c r="CN78" s="113"/>
    </row>
    <row r="79" spans="2:92" ht="18" customHeight="1" x14ac:dyDescent="0.25">
      <c r="B79" s="113"/>
      <c r="C79" s="114"/>
      <c r="D79" s="112"/>
      <c r="E79" s="112"/>
      <c r="F79" s="120"/>
      <c r="G79" s="113"/>
      <c r="H79" s="113"/>
      <c r="I79" s="113"/>
      <c r="J79" s="113"/>
      <c r="K79" s="113"/>
      <c r="L79" s="113"/>
      <c r="M79" s="120"/>
      <c r="N79" s="113"/>
      <c r="O79" s="113"/>
      <c r="P79" s="113"/>
      <c r="Q79" s="113"/>
      <c r="R79" s="113"/>
      <c r="S79" s="113"/>
      <c r="T79" s="120"/>
      <c r="U79" s="113"/>
      <c r="V79" s="113"/>
      <c r="W79" s="113"/>
      <c r="X79" s="113"/>
      <c r="Y79" s="113"/>
      <c r="Z79" s="113"/>
      <c r="AA79" s="120"/>
      <c r="AB79" s="113"/>
      <c r="AC79" s="113"/>
      <c r="AD79" s="113"/>
      <c r="AE79" s="113"/>
      <c r="AF79" s="113"/>
      <c r="AG79" s="113"/>
      <c r="AH79" s="120"/>
      <c r="AI79" s="113"/>
      <c r="AJ79" s="113"/>
      <c r="AK79" s="113"/>
      <c r="AL79" s="113"/>
      <c r="AM79" s="113"/>
      <c r="AN79" s="113"/>
      <c r="AO79" s="120"/>
      <c r="AP79" s="113"/>
      <c r="AQ79" s="113"/>
      <c r="AR79" s="113"/>
      <c r="AS79" s="113"/>
      <c r="AT79" s="113"/>
      <c r="AU79" s="113"/>
      <c r="AV79" s="120"/>
      <c r="AW79" s="113"/>
      <c r="AX79" s="113"/>
      <c r="AY79" s="113"/>
      <c r="AZ79" s="113"/>
      <c r="BA79" s="113"/>
      <c r="BB79" s="113"/>
      <c r="BC79" s="120"/>
      <c r="BD79" s="113"/>
      <c r="BE79" s="113"/>
      <c r="BF79" s="113"/>
      <c r="BG79" s="113"/>
      <c r="BH79" s="113"/>
      <c r="BI79" s="113"/>
      <c r="BJ79" s="120"/>
      <c r="BK79" s="113"/>
      <c r="BL79" s="113"/>
      <c r="BM79" s="113"/>
      <c r="BN79" s="113"/>
      <c r="BO79" s="113"/>
      <c r="BP79" s="113"/>
      <c r="BQ79" s="120"/>
      <c r="BR79" s="113"/>
      <c r="BS79" s="113"/>
      <c r="BT79" s="113"/>
      <c r="BU79" s="113"/>
      <c r="BV79" s="113"/>
      <c r="BW79" s="113"/>
      <c r="BX79" s="120"/>
      <c r="BY79" s="113"/>
      <c r="BZ79" s="113"/>
      <c r="CA79" s="113"/>
      <c r="CB79" s="113"/>
      <c r="CC79" s="113"/>
      <c r="CD79" s="113"/>
      <c r="CE79" s="120"/>
      <c r="CF79" s="113"/>
      <c r="CG79" s="113"/>
      <c r="CH79" s="113"/>
      <c r="CI79" s="113"/>
      <c r="CJ79" s="113"/>
      <c r="CK79" s="113"/>
      <c r="CL79" s="120"/>
      <c r="CM79" s="113"/>
      <c r="CN79" s="113"/>
    </row>
    <row r="80" spans="2:92" ht="18" customHeight="1" x14ac:dyDescent="0.25">
      <c r="B80" s="113"/>
      <c r="C80" s="114"/>
      <c r="D80" s="112"/>
      <c r="E80" s="112"/>
      <c r="F80" s="120"/>
      <c r="G80" s="113"/>
      <c r="H80" s="113"/>
      <c r="I80" s="113"/>
      <c r="J80" s="113"/>
      <c r="K80" s="113"/>
      <c r="L80" s="113"/>
      <c r="M80" s="120"/>
      <c r="N80" s="113"/>
      <c r="O80" s="113"/>
      <c r="P80" s="113"/>
      <c r="Q80" s="113"/>
      <c r="R80" s="113"/>
      <c r="S80" s="113"/>
      <c r="T80" s="120"/>
      <c r="U80" s="113"/>
      <c r="V80" s="113"/>
      <c r="W80" s="113"/>
      <c r="X80" s="113"/>
      <c r="Y80" s="113"/>
      <c r="Z80" s="113"/>
      <c r="AA80" s="120"/>
      <c r="AB80" s="113"/>
      <c r="AC80" s="113"/>
      <c r="AD80" s="113"/>
      <c r="AE80" s="113"/>
      <c r="AF80" s="113"/>
      <c r="AG80" s="113"/>
      <c r="AH80" s="120"/>
      <c r="AI80" s="113"/>
      <c r="AJ80" s="113"/>
      <c r="AK80" s="113"/>
      <c r="AL80" s="113"/>
      <c r="AM80" s="113"/>
      <c r="AN80" s="113"/>
      <c r="AO80" s="120"/>
      <c r="AP80" s="113"/>
      <c r="AQ80" s="113"/>
      <c r="AR80" s="113"/>
      <c r="AS80" s="113"/>
      <c r="AT80" s="113"/>
      <c r="AU80" s="113"/>
      <c r="AV80" s="120"/>
      <c r="AW80" s="113"/>
      <c r="AX80" s="113"/>
      <c r="AY80" s="113"/>
      <c r="AZ80" s="113"/>
      <c r="BA80" s="113"/>
      <c r="BB80" s="113"/>
      <c r="BC80" s="120"/>
      <c r="BD80" s="113"/>
      <c r="BE80" s="113"/>
      <c r="BF80" s="113"/>
      <c r="BG80" s="113"/>
      <c r="BH80" s="113"/>
      <c r="BI80" s="113"/>
      <c r="BJ80" s="120"/>
      <c r="BK80" s="113"/>
      <c r="BL80" s="113"/>
      <c r="BM80" s="113"/>
      <c r="BN80" s="113"/>
      <c r="BO80" s="113"/>
      <c r="BP80" s="113"/>
      <c r="BQ80" s="120"/>
      <c r="BR80" s="113"/>
      <c r="BS80" s="113"/>
      <c r="BT80" s="113"/>
      <c r="BU80" s="113"/>
      <c r="BV80" s="113"/>
      <c r="BW80" s="113"/>
      <c r="BX80" s="120"/>
      <c r="BY80" s="113"/>
      <c r="BZ80" s="113"/>
      <c r="CA80" s="113"/>
      <c r="CB80" s="113"/>
      <c r="CC80" s="113"/>
      <c r="CD80" s="113"/>
      <c r="CE80" s="120"/>
      <c r="CF80" s="113"/>
      <c r="CG80" s="113"/>
      <c r="CH80" s="113"/>
      <c r="CI80" s="113"/>
      <c r="CJ80" s="113"/>
      <c r="CK80" s="113"/>
      <c r="CL80" s="120"/>
      <c r="CM80" s="113"/>
      <c r="CN80" s="113"/>
    </row>
    <row r="81" spans="2:92" ht="18" customHeight="1" x14ac:dyDescent="0.25">
      <c r="B81" s="113"/>
      <c r="C81" s="114"/>
      <c r="D81" s="112"/>
      <c r="E81" s="112"/>
      <c r="F81" s="120"/>
      <c r="G81" s="113"/>
      <c r="H81" s="113"/>
      <c r="I81" s="113"/>
      <c r="J81" s="113"/>
      <c r="K81" s="113"/>
      <c r="L81" s="113"/>
      <c r="M81" s="120"/>
      <c r="N81" s="113"/>
      <c r="O81" s="113"/>
      <c r="P81" s="113"/>
      <c r="Q81" s="113"/>
      <c r="R81" s="113"/>
      <c r="S81" s="113"/>
      <c r="T81" s="120"/>
      <c r="U81" s="113"/>
      <c r="V81" s="113"/>
      <c r="W81" s="113"/>
      <c r="X81" s="113"/>
      <c r="Y81" s="113"/>
      <c r="Z81" s="113"/>
      <c r="AA81" s="120"/>
      <c r="AB81" s="113"/>
      <c r="AC81" s="113"/>
      <c r="AD81" s="113"/>
      <c r="AE81" s="113"/>
      <c r="AF81" s="113"/>
      <c r="AG81" s="113"/>
      <c r="AH81" s="120"/>
      <c r="AI81" s="113"/>
      <c r="AJ81" s="113"/>
      <c r="AK81" s="113"/>
      <c r="AL81" s="113"/>
      <c r="AM81" s="113"/>
      <c r="AN81" s="113"/>
      <c r="AO81" s="120"/>
      <c r="AP81" s="113"/>
      <c r="AQ81" s="113"/>
      <c r="AR81" s="113"/>
      <c r="AS81" s="113"/>
      <c r="AT81" s="113"/>
      <c r="AU81" s="113"/>
      <c r="AV81" s="120"/>
      <c r="AW81" s="113"/>
      <c r="AX81" s="113"/>
      <c r="AY81" s="113"/>
      <c r="AZ81" s="113"/>
      <c r="BA81" s="113"/>
      <c r="BB81" s="113"/>
      <c r="BC81" s="120"/>
      <c r="BD81" s="113"/>
      <c r="BE81" s="113"/>
      <c r="BF81" s="113"/>
      <c r="BG81" s="113"/>
      <c r="BH81" s="113"/>
      <c r="BI81" s="113"/>
      <c r="BJ81" s="120"/>
      <c r="BK81" s="113"/>
      <c r="BL81" s="113"/>
      <c r="BM81" s="113"/>
      <c r="BN81" s="113"/>
      <c r="BO81" s="113"/>
      <c r="BP81" s="113"/>
      <c r="BQ81" s="120"/>
      <c r="BR81" s="113"/>
      <c r="BS81" s="113"/>
      <c r="BT81" s="113"/>
      <c r="BU81" s="113"/>
      <c r="BV81" s="113"/>
      <c r="BW81" s="113"/>
      <c r="BX81" s="120"/>
      <c r="BY81" s="113"/>
      <c r="BZ81" s="113"/>
      <c r="CA81" s="113"/>
      <c r="CB81" s="113"/>
      <c r="CC81" s="113"/>
      <c r="CD81" s="113"/>
      <c r="CE81" s="120"/>
      <c r="CF81" s="113"/>
      <c r="CG81" s="113"/>
      <c r="CH81" s="113"/>
      <c r="CI81" s="113"/>
      <c r="CJ81" s="113"/>
      <c r="CK81" s="113"/>
      <c r="CL81" s="120"/>
      <c r="CM81" s="113"/>
      <c r="CN81" s="113"/>
    </row>
    <row r="82" spans="2:92" ht="18" customHeight="1" x14ac:dyDescent="0.25">
      <c r="B82" s="113"/>
      <c r="C82" s="114"/>
      <c r="D82" s="112"/>
      <c r="E82" s="112"/>
      <c r="F82" s="120"/>
      <c r="G82" s="113"/>
      <c r="H82" s="113"/>
      <c r="I82" s="113"/>
      <c r="J82" s="113"/>
      <c r="K82" s="113"/>
      <c r="L82" s="113"/>
      <c r="M82" s="120"/>
      <c r="N82" s="113"/>
      <c r="O82" s="113"/>
      <c r="P82" s="113"/>
      <c r="Q82" s="113"/>
      <c r="R82" s="113"/>
      <c r="S82" s="113"/>
      <c r="T82" s="120"/>
      <c r="U82" s="113"/>
      <c r="V82" s="113"/>
      <c r="W82" s="113"/>
      <c r="X82" s="113"/>
      <c r="Y82" s="113"/>
      <c r="Z82" s="113"/>
      <c r="AA82" s="120"/>
      <c r="AB82" s="113"/>
      <c r="AC82" s="113"/>
      <c r="AD82" s="113"/>
      <c r="AE82" s="113"/>
      <c r="AF82" s="113"/>
      <c r="AG82" s="113"/>
      <c r="AH82" s="120"/>
      <c r="AI82" s="113"/>
      <c r="AJ82" s="113"/>
      <c r="AK82" s="113"/>
      <c r="AL82" s="113"/>
      <c r="AM82" s="113"/>
      <c r="AN82" s="113"/>
      <c r="AO82" s="120"/>
      <c r="AP82" s="113"/>
      <c r="AQ82" s="113"/>
      <c r="AR82" s="113"/>
      <c r="AS82" s="113"/>
      <c r="AT82" s="113"/>
      <c r="AU82" s="113"/>
      <c r="AV82" s="120"/>
      <c r="AW82" s="113"/>
      <c r="AX82" s="113"/>
      <c r="AY82" s="113"/>
      <c r="AZ82" s="113"/>
      <c r="BA82" s="113"/>
      <c r="BB82" s="113"/>
      <c r="BC82" s="120"/>
      <c r="BD82" s="113"/>
      <c r="BE82" s="113"/>
      <c r="BF82" s="113"/>
      <c r="BG82" s="113"/>
      <c r="BH82" s="113"/>
      <c r="BI82" s="113"/>
      <c r="BJ82" s="120"/>
      <c r="BK82" s="113"/>
      <c r="BL82" s="113"/>
      <c r="BM82" s="113"/>
      <c r="BN82" s="113"/>
      <c r="BO82" s="113"/>
      <c r="BP82" s="113"/>
      <c r="BQ82" s="120"/>
      <c r="BR82" s="113"/>
      <c r="BS82" s="113"/>
      <c r="BT82" s="113"/>
      <c r="BU82" s="113"/>
      <c r="BV82" s="113"/>
      <c r="BW82" s="113"/>
      <c r="BX82" s="120"/>
      <c r="BY82" s="113"/>
      <c r="BZ82" s="113"/>
      <c r="CA82" s="113"/>
      <c r="CB82" s="113"/>
      <c r="CC82" s="113"/>
      <c r="CD82" s="113"/>
      <c r="CE82" s="120"/>
      <c r="CF82" s="113"/>
      <c r="CG82" s="113"/>
      <c r="CH82" s="113"/>
      <c r="CI82" s="113"/>
      <c r="CJ82" s="113"/>
      <c r="CK82" s="113"/>
      <c r="CL82" s="120"/>
      <c r="CM82" s="113"/>
      <c r="CN82" s="113"/>
    </row>
    <row r="83" spans="2:92" ht="18" customHeight="1" x14ac:dyDescent="0.25">
      <c r="B83" s="113"/>
      <c r="C83" s="114"/>
      <c r="D83" s="112"/>
      <c r="E83" s="112"/>
      <c r="F83" s="120"/>
      <c r="G83" s="113"/>
      <c r="H83" s="113"/>
      <c r="I83" s="113"/>
      <c r="J83" s="113"/>
      <c r="K83" s="113"/>
      <c r="L83" s="113"/>
      <c r="M83" s="120"/>
      <c r="N83" s="113"/>
      <c r="O83" s="113"/>
      <c r="P83" s="113"/>
      <c r="Q83" s="113"/>
      <c r="R83" s="113"/>
      <c r="S83" s="113"/>
      <c r="T83" s="120"/>
      <c r="U83" s="113"/>
      <c r="V83" s="113"/>
      <c r="W83" s="113"/>
      <c r="X83" s="113"/>
      <c r="Y83" s="113"/>
      <c r="Z83" s="113"/>
      <c r="AA83" s="120"/>
      <c r="AB83" s="113"/>
      <c r="AC83" s="113"/>
      <c r="AD83" s="113"/>
      <c r="AE83" s="113"/>
      <c r="AF83" s="113"/>
      <c r="AG83" s="113"/>
      <c r="AH83" s="120"/>
      <c r="AI83" s="113"/>
      <c r="AJ83" s="113"/>
      <c r="AK83" s="113"/>
      <c r="AL83" s="113"/>
      <c r="AM83" s="113"/>
      <c r="AN83" s="113"/>
      <c r="AO83" s="120"/>
      <c r="AP83" s="113"/>
      <c r="AQ83" s="113"/>
      <c r="AR83" s="113"/>
      <c r="AS83" s="113"/>
      <c r="AT83" s="113"/>
      <c r="AU83" s="113"/>
      <c r="AV83" s="120"/>
      <c r="AW83" s="113"/>
      <c r="AX83" s="113"/>
      <c r="AY83" s="113"/>
      <c r="AZ83" s="113"/>
      <c r="BA83" s="113"/>
      <c r="BB83" s="113"/>
      <c r="BC83" s="120"/>
      <c r="BD83" s="113"/>
      <c r="BE83" s="113"/>
      <c r="BF83" s="113"/>
      <c r="BG83" s="113"/>
      <c r="BH83" s="113"/>
      <c r="BI83" s="113"/>
      <c r="BJ83" s="120"/>
      <c r="BK83" s="113"/>
      <c r="BL83" s="113"/>
      <c r="BM83" s="113"/>
      <c r="BN83" s="113"/>
      <c r="BO83" s="113"/>
      <c r="BP83" s="113"/>
      <c r="BQ83" s="120"/>
      <c r="BR83" s="113"/>
      <c r="BS83" s="113"/>
      <c r="BT83" s="113"/>
      <c r="BU83" s="113"/>
      <c r="BV83" s="113"/>
      <c r="BW83" s="113"/>
      <c r="BX83" s="120"/>
      <c r="BY83" s="113"/>
      <c r="BZ83" s="113"/>
      <c r="CA83" s="113"/>
      <c r="CB83" s="113"/>
      <c r="CC83" s="113"/>
      <c r="CD83" s="113"/>
      <c r="CE83" s="120"/>
      <c r="CF83" s="113"/>
      <c r="CG83" s="113"/>
      <c r="CH83" s="113"/>
      <c r="CI83" s="113"/>
      <c r="CJ83" s="113"/>
      <c r="CK83" s="113"/>
      <c r="CL83" s="120"/>
      <c r="CM83" s="113"/>
      <c r="CN83" s="113"/>
    </row>
    <row r="84" spans="2:92" ht="18" customHeight="1" x14ac:dyDescent="0.25">
      <c r="B84" s="113"/>
      <c r="C84" s="114"/>
      <c r="D84" s="112"/>
      <c r="E84" s="112"/>
      <c r="F84" s="120"/>
      <c r="G84" s="113"/>
      <c r="H84" s="113"/>
      <c r="I84" s="113"/>
      <c r="J84" s="113"/>
      <c r="K84" s="113"/>
      <c r="L84" s="113"/>
      <c r="M84" s="120"/>
      <c r="N84" s="113"/>
      <c r="O84" s="113"/>
      <c r="P84" s="113"/>
      <c r="Q84" s="113"/>
      <c r="R84" s="113"/>
      <c r="S84" s="113"/>
      <c r="T84" s="120"/>
      <c r="U84" s="113"/>
      <c r="V84" s="113"/>
      <c r="W84" s="113"/>
      <c r="X84" s="113"/>
      <c r="Y84" s="113"/>
      <c r="Z84" s="113"/>
      <c r="AA84" s="120"/>
      <c r="AB84" s="113"/>
      <c r="AC84" s="113"/>
      <c r="AD84" s="113"/>
      <c r="AE84" s="113"/>
      <c r="AF84" s="113"/>
      <c r="AG84" s="113"/>
      <c r="AH84" s="120"/>
      <c r="AI84" s="113"/>
      <c r="AJ84" s="113"/>
      <c r="AK84" s="113"/>
      <c r="AL84" s="113"/>
      <c r="AM84" s="113"/>
      <c r="AN84" s="113"/>
      <c r="AO84" s="120"/>
      <c r="AP84" s="113"/>
      <c r="AQ84" s="113"/>
      <c r="AR84" s="113"/>
      <c r="AS84" s="113"/>
      <c r="AT84" s="113"/>
      <c r="AU84" s="113"/>
      <c r="AV84" s="120"/>
      <c r="AW84" s="113"/>
      <c r="AX84" s="113"/>
      <c r="AY84" s="113"/>
      <c r="AZ84" s="113"/>
      <c r="BA84" s="113"/>
      <c r="BB84" s="113"/>
      <c r="BC84" s="120"/>
      <c r="BD84" s="113"/>
      <c r="BE84" s="113"/>
      <c r="BF84" s="113"/>
      <c r="BG84" s="113"/>
      <c r="BH84" s="113"/>
      <c r="BI84" s="113"/>
      <c r="BJ84" s="120"/>
      <c r="BK84" s="113"/>
      <c r="BL84" s="113"/>
      <c r="BM84" s="113"/>
      <c r="BN84" s="113"/>
      <c r="BO84" s="113"/>
      <c r="BP84" s="113"/>
      <c r="BQ84" s="120"/>
      <c r="BR84" s="113"/>
      <c r="BS84" s="113"/>
      <c r="BT84" s="113"/>
      <c r="BU84" s="113"/>
      <c r="BV84" s="113"/>
      <c r="BW84" s="113"/>
      <c r="BX84" s="120"/>
      <c r="BY84" s="113"/>
      <c r="BZ84" s="113"/>
      <c r="CA84" s="113"/>
      <c r="CB84" s="113"/>
      <c r="CC84" s="113"/>
      <c r="CD84" s="113"/>
      <c r="CE84" s="120"/>
      <c r="CF84" s="113"/>
      <c r="CG84" s="113"/>
      <c r="CH84" s="113"/>
      <c r="CI84" s="113"/>
      <c r="CJ84" s="113"/>
      <c r="CK84" s="113"/>
      <c r="CL84" s="120"/>
      <c r="CM84" s="113"/>
      <c r="CN84" s="113"/>
    </row>
    <row r="85" spans="2:92" ht="18" customHeight="1" x14ac:dyDescent="0.25">
      <c r="B85" s="113"/>
      <c r="C85" s="114"/>
      <c r="D85" s="112"/>
      <c r="E85" s="112"/>
      <c r="F85" s="120"/>
      <c r="G85" s="113"/>
      <c r="H85" s="113"/>
      <c r="I85" s="113"/>
      <c r="J85" s="113"/>
      <c r="K85" s="113"/>
      <c r="L85" s="113"/>
      <c r="M85" s="120"/>
      <c r="N85" s="113"/>
      <c r="O85" s="113"/>
      <c r="P85" s="113"/>
      <c r="Q85" s="113"/>
      <c r="R85" s="113"/>
      <c r="S85" s="113"/>
      <c r="T85" s="120"/>
      <c r="U85" s="113"/>
      <c r="V85" s="113"/>
      <c r="W85" s="113"/>
      <c r="X85" s="113"/>
      <c r="Y85" s="113"/>
      <c r="Z85" s="113"/>
      <c r="AA85" s="120"/>
      <c r="AB85" s="113"/>
      <c r="AC85" s="113"/>
      <c r="AD85" s="113"/>
      <c r="AE85" s="113"/>
      <c r="AF85" s="113"/>
      <c r="AG85" s="113"/>
      <c r="AH85" s="120"/>
      <c r="AI85" s="113"/>
      <c r="AJ85" s="113"/>
      <c r="AK85" s="113"/>
      <c r="AL85" s="113"/>
      <c r="AM85" s="113"/>
      <c r="AN85" s="113"/>
      <c r="AO85" s="120"/>
      <c r="AP85" s="113"/>
      <c r="AQ85" s="113"/>
      <c r="AR85" s="113"/>
      <c r="AS85" s="113"/>
      <c r="AT85" s="113"/>
      <c r="AU85" s="113"/>
      <c r="AV85" s="120"/>
      <c r="AW85" s="113"/>
      <c r="AX85" s="113"/>
      <c r="AY85" s="113"/>
      <c r="AZ85" s="113"/>
      <c r="BA85" s="113"/>
      <c r="BB85" s="113"/>
      <c r="BC85" s="120"/>
      <c r="BD85" s="113"/>
      <c r="BE85" s="113"/>
      <c r="BF85" s="113"/>
      <c r="BG85" s="113"/>
      <c r="BH85" s="113"/>
      <c r="BI85" s="113"/>
      <c r="BJ85" s="120"/>
      <c r="BK85" s="113"/>
      <c r="BL85" s="113"/>
      <c r="BM85" s="113"/>
      <c r="BN85" s="113"/>
      <c r="BO85" s="113"/>
      <c r="BP85" s="113"/>
      <c r="BQ85" s="120"/>
      <c r="BR85" s="113"/>
      <c r="BS85" s="113"/>
      <c r="BT85" s="113"/>
      <c r="BU85" s="113"/>
      <c r="BV85" s="113"/>
      <c r="BW85" s="113"/>
      <c r="BX85" s="120"/>
      <c r="BY85" s="113"/>
      <c r="BZ85" s="113"/>
      <c r="CA85" s="113"/>
      <c r="CB85" s="113"/>
      <c r="CC85" s="113"/>
      <c r="CD85" s="113"/>
      <c r="CE85" s="120"/>
      <c r="CF85" s="113"/>
      <c r="CG85" s="113"/>
      <c r="CH85" s="113"/>
      <c r="CI85" s="113"/>
      <c r="CJ85" s="113"/>
      <c r="CK85" s="113"/>
      <c r="CL85" s="120"/>
      <c r="CM85" s="113"/>
      <c r="CN85" s="113"/>
    </row>
    <row r="86" spans="2:92" ht="18" customHeight="1" x14ac:dyDescent="0.25">
      <c r="B86" s="113"/>
      <c r="C86" s="114"/>
      <c r="D86" s="112"/>
      <c r="E86" s="112"/>
      <c r="F86" s="120"/>
      <c r="G86" s="113"/>
      <c r="H86" s="113"/>
      <c r="I86" s="113"/>
      <c r="J86" s="113"/>
      <c r="K86" s="113"/>
      <c r="L86" s="113"/>
      <c r="M86" s="120"/>
      <c r="N86" s="113"/>
      <c r="O86" s="113"/>
      <c r="P86" s="113"/>
      <c r="Q86" s="113"/>
      <c r="R86" s="113"/>
      <c r="S86" s="113"/>
      <c r="T86" s="120"/>
      <c r="U86" s="113"/>
      <c r="V86" s="113"/>
      <c r="W86" s="113"/>
      <c r="X86" s="113"/>
      <c r="Y86" s="113"/>
      <c r="Z86" s="113"/>
      <c r="AA86" s="120"/>
      <c r="AB86" s="113"/>
      <c r="AC86" s="113"/>
      <c r="AD86" s="113"/>
      <c r="AE86" s="113"/>
      <c r="AF86" s="113"/>
      <c r="AG86" s="113"/>
      <c r="AH86" s="120"/>
      <c r="AI86" s="113"/>
      <c r="AJ86" s="113"/>
      <c r="AK86" s="113"/>
      <c r="AL86" s="113"/>
      <c r="AM86" s="113"/>
      <c r="AN86" s="113"/>
      <c r="AO86" s="120"/>
      <c r="AP86" s="113"/>
      <c r="AQ86" s="113"/>
      <c r="AR86" s="113"/>
      <c r="AS86" s="113"/>
      <c r="AT86" s="113"/>
      <c r="AU86" s="113"/>
      <c r="AV86" s="120"/>
      <c r="AW86" s="113"/>
      <c r="AX86" s="113"/>
      <c r="AY86" s="113"/>
      <c r="AZ86" s="113"/>
      <c r="BA86" s="113"/>
      <c r="BB86" s="113"/>
      <c r="BC86" s="120"/>
      <c r="BD86" s="113"/>
      <c r="BE86" s="113"/>
      <c r="BF86" s="113"/>
      <c r="BG86" s="113"/>
      <c r="BH86" s="113"/>
      <c r="BI86" s="113"/>
      <c r="BJ86" s="120"/>
      <c r="BK86" s="113"/>
      <c r="BL86" s="113"/>
      <c r="BM86" s="113"/>
      <c r="BN86" s="113"/>
      <c r="BO86" s="113"/>
      <c r="BP86" s="113"/>
      <c r="BQ86" s="120"/>
      <c r="BR86" s="113"/>
      <c r="BS86" s="113"/>
      <c r="BT86" s="113"/>
      <c r="BU86" s="113"/>
      <c r="BV86" s="113"/>
      <c r="BW86" s="113"/>
      <c r="BX86" s="120"/>
      <c r="BY86" s="113"/>
      <c r="BZ86" s="113"/>
      <c r="CA86" s="113"/>
      <c r="CB86" s="113"/>
      <c r="CC86" s="113"/>
      <c r="CD86" s="113"/>
      <c r="CE86" s="120"/>
      <c r="CF86" s="113"/>
      <c r="CG86" s="113"/>
      <c r="CH86" s="113"/>
      <c r="CI86" s="113"/>
      <c r="CJ86" s="113"/>
      <c r="CK86" s="113"/>
      <c r="CL86" s="120"/>
      <c r="CM86" s="113"/>
      <c r="CN86" s="113"/>
    </row>
    <row r="87" spans="2:92" ht="18" customHeight="1" x14ac:dyDescent="0.25">
      <c r="B87" s="113"/>
      <c r="C87" s="114"/>
      <c r="D87" s="112"/>
      <c r="E87" s="112"/>
      <c r="F87" s="120"/>
      <c r="G87" s="113"/>
      <c r="H87" s="113"/>
      <c r="I87" s="113"/>
      <c r="J87" s="113"/>
      <c r="K87" s="113"/>
      <c r="L87" s="113"/>
      <c r="M87" s="120"/>
      <c r="N87" s="113"/>
      <c r="O87" s="113"/>
      <c r="P87" s="113"/>
      <c r="Q87" s="113"/>
      <c r="R87" s="113"/>
      <c r="S87" s="113"/>
      <c r="T87" s="120"/>
      <c r="U87" s="113"/>
      <c r="V87" s="113"/>
      <c r="W87" s="113"/>
      <c r="X87" s="113"/>
      <c r="Y87" s="113"/>
      <c r="Z87" s="113"/>
      <c r="AA87" s="120"/>
      <c r="AB87" s="113"/>
      <c r="AC87" s="113"/>
      <c r="AD87" s="113"/>
      <c r="AE87" s="113"/>
      <c r="AF87" s="113"/>
      <c r="AG87" s="113"/>
      <c r="AH87" s="120"/>
      <c r="AI87" s="113"/>
      <c r="AJ87" s="113"/>
      <c r="AK87" s="113"/>
      <c r="AL87" s="113"/>
      <c r="AM87" s="113"/>
      <c r="AN87" s="113"/>
      <c r="AO87" s="120"/>
      <c r="AP87" s="113"/>
      <c r="AQ87" s="113"/>
      <c r="AR87" s="113"/>
      <c r="AS87" s="113"/>
      <c r="AT87" s="113"/>
      <c r="AU87" s="113"/>
      <c r="AV87" s="120"/>
      <c r="AW87" s="113"/>
      <c r="AX87" s="113"/>
      <c r="AY87" s="113"/>
      <c r="AZ87" s="113"/>
      <c r="BA87" s="113"/>
      <c r="BB87" s="113"/>
      <c r="BC87" s="120"/>
      <c r="BD87" s="113"/>
      <c r="BE87" s="113"/>
      <c r="BF87" s="113"/>
      <c r="BG87" s="113"/>
      <c r="BH87" s="113"/>
      <c r="BI87" s="113"/>
      <c r="BJ87" s="120"/>
      <c r="BK87" s="113"/>
      <c r="BL87" s="113"/>
      <c r="BM87" s="113"/>
      <c r="BN87" s="113"/>
      <c r="BO87" s="113"/>
      <c r="BP87" s="113"/>
      <c r="BQ87" s="120"/>
      <c r="BR87" s="113"/>
      <c r="BS87" s="113"/>
      <c r="BT87" s="113"/>
      <c r="BU87" s="113"/>
      <c r="BV87" s="113"/>
      <c r="BW87" s="113"/>
      <c r="BX87" s="120"/>
      <c r="BY87" s="113"/>
      <c r="BZ87" s="113"/>
      <c r="CA87" s="113"/>
      <c r="CB87" s="113"/>
      <c r="CC87" s="113"/>
      <c r="CD87" s="113"/>
      <c r="CE87" s="120"/>
      <c r="CF87" s="113"/>
      <c r="CG87" s="113"/>
      <c r="CH87" s="113"/>
      <c r="CI87" s="113"/>
      <c r="CJ87" s="113"/>
      <c r="CK87" s="113"/>
      <c r="CL87" s="120"/>
      <c r="CM87" s="113"/>
      <c r="CN87" s="113"/>
    </row>
    <row r="88" spans="2:92" ht="18" customHeight="1" x14ac:dyDescent="0.25">
      <c r="B88" s="113"/>
      <c r="C88" s="114"/>
      <c r="D88" s="112"/>
      <c r="E88" s="112"/>
      <c r="F88" s="120"/>
      <c r="G88" s="113"/>
      <c r="H88" s="113"/>
      <c r="I88" s="113"/>
      <c r="J88" s="113"/>
      <c r="K88" s="113"/>
      <c r="L88" s="113"/>
      <c r="M88" s="120"/>
      <c r="N88" s="113"/>
      <c r="O88" s="113"/>
      <c r="P88" s="113"/>
      <c r="Q88" s="113"/>
      <c r="R88" s="113"/>
      <c r="S88" s="113"/>
      <c r="T88" s="120"/>
      <c r="U88" s="113"/>
      <c r="V88" s="113"/>
      <c r="W88" s="113"/>
      <c r="X88" s="113"/>
      <c r="Y88" s="113"/>
      <c r="Z88" s="113"/>
      <c r="AA88" s="120"/>
      <c r="AB88" s="113"/>
      <c r="AC88" s="113"/>
      <c r="AD88" s="113"/>
      <c r="AE88" s="113"/>
      <c r="AF88" s="113"/>
      <c r="AG88" s="113"/>
      <c r="AH88" s="120"/>
      <c r="AI88" s="113"/>
      <c r="AJ88" s="113"/>
      <c r="AK88" s="113"/>
      <c r="AL88" s="113"/>
      <c r="AM88" s="113"/>
      <c r="AN88" s="113"/>
      <c r="AO88" s="120"/>
      <c r="AP88" s="113"/>
      <c r="AQ88" s="113"/>
      <c r="AR88" s="113"/>
      <c r="AS88" s="113"/>
      <c r="AT88" s="113"/>
      <c r="AU88" s="113"/>
      <c r="AV88" s="120"/>
      <c r="AW88" s="113"/>
      <c r="AX88" s="113"/>
      <c r="AY88" s="113"/>
      <c r="AZ88" s="113"/>
      <c r="BA88" s="113"/>
      <c r="BB88" s="113"/>
      <c r="BC88" s="120"/>
      <c r="BD88" s="113"/>
      <c r="BE88" s="113"/>
      <c r="BF88" s="113"/>
      <c r="BG88" s="113"/>
      <c r="BH88" s="113"/>
      <c r="BI88" s="113"/>
      <c r="BJ88" s="120"/>
      <c r="BK88" s="113"/>
      <c r="BL88" s="113"/>
      <c r="BM88" s="113"/>
      <c r="BN88" s="113"/>
      <c r="BO88" s="113"/>
      <c r="BP88" s="113"/>
      <c r="BQ88" s="120"/>
      <c r="BR88" s="113"/>
      <c r="BS88" s="113"/>
      <c r="BT88" s="113"/>
      <c r="BU88" s="113"/>
      <c r="BV88" s="113"/>
      <c r="BW88" s="113"/>
      <c r="BX88" s="120"/>
      <c r="BY88" s="113"/>
      <c r="BZ88" s="113"/>
      <c r="CA88" s="113"/>
      <c r="CB88" s="113"/>
      <c r="CC88" s="113"/>
      <c r="CD88" s="113"/>
      <c r="CE88" s="120"/>
      <c r="CF88" s="113"/>
      <c r="CG88" s="113"/>
      <c r="CH88" s="113"/>
      <c r="CI88" s="113"/>
      <c r="CJ88" s="113"/>
      <c r="CK88" s="113"/>
      <c r="CL88" s="120"/>
      <c r="CM88" s="113"/>
      <c r="CN88" s="113"/>
    </row>
    <row r="89" spans="2:92" ht="18" customHeight="1" x14ac:dyDescent="0.25">
      <c r="B89" s="113"/>
      <c r="C89" s="114"/>
      <c r="D89" s="112"/>
      <c r="E89" s="112"/>
      <c r="F89" s="120"/>
      <c r="G89" s="113"/>
      <c r="H89" s="113"/>
      <c r="I89" s="113"/>
      <c r="J89" s="113"/>
      <c r="K89" s="113"/>
      <c r="L89" s="113"/>
      <c r="M89" s="120"/>
      <c r="N89" s="113"/>
      <c r="O89" s="113"/>
      <c r="P89" s="113"/>
      <c r="Q89" s="113"/>
      <c r="R89" s="113"/>
      <c r="S89" s="113"/>
      <c r="T89" s="120"/>
      <c r="U89" s="113"/>
      <c r="V89" s="113"/>
      <c r="W89" s="113"/>
      <c r="X89" s="113"/>
      <c r="Y89" s="113"/>
      <c r="Z89" s="113"/>
      <c r="AA89" s="120"/>
      <c r="AB89" s="113"/>
      <c r="AC89" s="113"/>
      <c r="AD89" s="113"/>
      <c r="AE89" s="113"/>
      <c r="AF89" s="113"/>
      <c r="AG89" s="113"/>
      <c r="AH89" s="120"/>
      <c r="AI89" s="113"/>
      <c r="AJ89" s="113"/>
      <c r="AK89" s="113"/>
      <c r="AL89" s="113"/>
      <c r="AM89" s="113"/>
      <c r="AN89" s="113"/>
      <c r="AO89" s="120"/>
      <c r="AP89" s="113"/>
      <c r="AQ89" s="113"/>
      <c r="AR89" s="113"/>
      <c r="AS89" s="113"/>
      <c r="AT89" s="113"/>
      <c r="AU89" s="113"/>
      <c r="AV89" s="120"/>
      <c r="AW89" s="113"/>
      <c r="AX89" s="113"/>
      <c r="AY89" s="113"/>
      <c r="AZ89" s="113"/>
      <c r="BA89" s="113"/>
      <c r="BB89" s="113"/>
      <c r="BC89" s="120"/>
      <c r="BD89" s="113"/>
      <c r="BE89" s="113"/>
      <c r="BF89" s="113"/>
      <c r="BG89" s="113"/>
      <c r="BH89" s="113"/>
      <c r="BI89" s="113"/>
      <c r="BJ89" s="120"/>
      <c r="BK89" s="113"/>
      <c r="BL89" s="113"/>
      <c r="BM89" s="113"/>
      <c r="BN89" s="113"/>
      <c r="BO89" s="113"/>
      <c r="BP89" s="113"/>
      <c r="BQ89" s="120"/>
      <c r="BR89" s="113"/>
      <c r="BS89" s="113"/>
      <c r="BT89" s="113"/>
      <c r="BU89" s="113"/>
      <c r="BV89" s="113"/>
      <c r="BW89" s="113"/>
      <c r="BX89" s="120"/>
      <c r="BY89" s="113"/>
      <c r="BZ89" s="113"/>
      <c r="CA89" s="113"/>
      <c r="CB89" s="113"/>
      <c r="CC89" s="113"/>
      <c r="CD89" s="113"/>
      <c r="CE89" s="120"/>
      <c r="CF89" s="113"/>
      <c r="CG89" s="113"/>
      <c r="CH89" s="113"/>
      <c r="CI89" s="113"/>
      <c r="CJ89" s="113"/>
      <c r="CK89" s="113"/>
      <c r="CL89" s="120"/>
      <c r="CM89" s="113"/>
      <c r="CN89" s="113"/>
    </row>
    <row r="90" spans="2:92" ht="18" customHeight="1" x14ac:dyDescent="0.25">
      <c r="B90" s="113"/>
      <c r="C90" s="114"/>
      <c r="D90" s="112"/>
      <c r="E90" s="112"/>
      <c r="F90" s="120"/>
      <c r="G90" s="113"/>
      <c r="H90" s="113"/>
      <c r="I90" s="113"/>
      <c r="J90" s="113"/>
      <c r="K90" s="113"/>
      <c r="L90" s="113"/>
      <c r="M90" s="120"/>
      <c r="N90" s="113"/>
      <c r="O90" s="113"/>
      <c r="P90" s="113"/>
      <c r="Q90" s="113"/>
      <c r="R90" s="113"/>
      <c r="S90" s="113"/>
      <c r="T90" s="120"/>
      <c r="U90" s="113"/>
      <c r="V90" s="113"/>
      <c r="W90" s="113"/>
      <c r="X90" s="113"/>
      <c r="Y90" s="113"/>
      <c r="Z90" s="113"/>
      <c r="AA90" s="120"/>
      <c r="AB90" s="113"/>
      <c r="AC90" s="113"/>
      <c r="AD90" s="113"/>
      <c r="AE90" s="113"/>
      <c r="AF90" s="113"/>
      <c r="AG90" s="113"/>
      <c r="AH90" s="120"/>
      <c r="AI90" s="113"/>
      <c r="AJ90" s="113"/>
      <c r="AK90" s="113"/>
      <c r="AL90" s="113"/>
      <c r="AM90" s="113"/>
      <c r="AN90" s="113"/>
      <c r="AO90" s="120"/>
      <c r="AP90" s="113"/>
      <c r="AQ90" s="113"/>
      <c r="AR90" s="113"/>
      <c r="AS90" s="113"/>
      <c r="AT90" s="113"/>
      <c r="AU90" s="113"/>
      <c r="AV90" s="120"/>
      <c r="AW90" s="113"/>
      <c r="AX90" s="113"/>
      <c r="AY90" s="113"/>
      <c r="AZ90" s="113"/>
      <c r="BA90" s="113"/>
      <c r="BB90" s="113"/>
      <c r="BC90" s="120"/>
      <c r="BD90" s="113"/>
      <c r="BE90" s="113"/>
      <c r="BF90" s="113"/>
      <c r="BG90" s="113"/>
      <c r="BH90" s="113"/>
      <c r="BI90" s="113"/>
      <c r="BJ90" s="120"/>
      <c r="BK90" s="113"/>
      <c r="BL90" s="113"/>
      <c r="BM90" s="113"/>
      <c r="BN90" s="113"/>
      <c r="BO90" s="113"/>
      <c r="BP90" s="113"/>
      <c r="BQ90" s="120"/>
      <c r="BR90" s="113"/>
      <c r="BS90" s="113"/>
      <c r="BT90" s="113"/>
      <c r="BU90" s="113"/>
      <c r="BV90" s="113"/>
      <c r="BW90" s="113"/>
      <c r="BX90" s="120"/>
      <c r="BY90" s="113"/>
      <c r="BZ90" s="113"/>
      <c r="CA90" s="113"/>
      <c r="CB90" s="113"/>
      <c r="CC90" s="113"/>
      <c r="CD90" s="113"/>
      <c r="CE90" s="120"/>
      <c r="CF90" s="113"/>
      <c r="CG90" s="113"/>
      <c r="CH90" s="113"/>
      <c r="CI90" s="113"/>
      <c r="CJ90" s="113"/>
      <c r="CK90" s="113"/>
      <c r="CL90" s="120"/>
      <c r="CM90" s="113"/>
      <c r="CN90" s="113"/>
    </row>
    <row r="91" spans="2:92" ht="18" customHeight="1" x14ac:dyDescent="0.25">
      <c r="B91" s="113"/>
      <c r="C91" s="114"/>
      <c r="D91" s="112"/>
      <c r="E91" s="112"/>
      <c r="F91" s="120"/>
      <c r="G91" s="113"/>
      <c r="H91" s="113"/>
      <c r="I91" s="113"/>
      <c r="J91" s="113"/>
      <c r="K91" s="113"/>
      <c r="L91" s="113"/>
      <c r="M91" s="120"/>
      <c r="N91" s="113"/>
      <c r="O91" s="113"/>
      <c r="P91" s="113"/>
      <c r="Q91" s="113"/>
      <c r="R91" s="113"/>
      <c r="S91" s="113"/>
      <c r="T91" s="120"/>
      <c r="U91" s="113"/>
      <c r="V91" s="113"/>
      <c r="W91" s="113"/>
      <c r="X91" s="113"/>
      <c r="Y91" s="113"/>
      <c r="Z91" s="113"/>
      <c r="AA91" s="120"/>
      <c r="AB91" s="113"/>
      <c r="AC91" s="113"/>
      <c r="AD91" s="113"/>
      <c r="AE91" s="113"/>
      <c r="AF91" s="113"/>
      <c r="AG91" s="113"/>
      <c r="AH91" s="120"/>
      <c r="AI91" s="113"/>
      <c r="AJ91" s="113"/>
      <c r="AK91" s="113"/>
      <c r="AL91" s="113"/>
      <c r="AM91" s="113"/>
      <c r="AN91" s="113"/>
      <c r="AO91" s="120"/>
      <c r="AP91" s="113"/>
      <c r="AQ91" s="113"/>
      <c r="AR91" s="113"/>
      <c r="AS91" s="113"/>
      <c r="AT91" s="113"/>
      <c r="AU91" s="113"/>
      <c r="AV91" s="120"/>
      <c r="AW91" s="113"/>
      <c r="AX91" s="113"/>
      <c r="AY91" s="113"/>
      <c r="AZ91" s="113"/>
      <c r="BA91" s="113"/>
      <c r="BB91" s="113"/>
      <c r="BC91" s="120"/>
      <c r="BD91" s="113"/>
      <c r="BE91" s="113"/>
      <c r="BF91" s="113"/>
      <c r="BG91" s="113"/>
      <c r="BH91" s="113"/>
      <c r="BI91" s="113"/>
      <c r="BJ91" s="120"/>
      <c r="BK91" s="113"/>
      <c r="BL91" s="113"/>
      <c r="BM91" s="113"/>
      <c r="BN91" s="113"/>
      <c r="BO91" s="113"/>
      <c r="BP91" s="113"/>
      <c r="BQ91" s="120"/>
      <c r="BR91" s="113"/>
      <c r="BS91" s="113"/>
      <c r="BT91" s="113"/>
      <c r="BU91" s="113"/>
      <c r="BV91" s="113"/>
      <c r="BW91" s="113"/>
      <c r="BX91" s="120"/>
      <c r="BY91" s="113"/>
      <c r="BZ91" s="113"/>
      <c r="CA91" s="113"/>
      <c r="CB91" s="113"/>
      <c r="CC91" s="113"/>
      <c r="CD91" s="113"/>
      <c r="CE91" s="120"/>
      <c r="CF91" s="113"/>
      <c r="CG91" s="113"/>
      <c r="CH91" s="113"/>
      <c r="CI91" s="113"/>
      <c r="CJ91" s="113"/>
      <c r="CK91" s="113"/>
      <c r="CL91" s="120"/>
      <c r="CM91" s="113"/>
      <c r="CN91" s="113"/>
    </row>
    <row r="92" spans="2:92" ht="18" customHeight="1" x14ac:dyDescent="0.25">
      <c r="B92" s="113"/>
      <c r="C92" s="114"/>
      <c r="D92" s="112"/>
      <c r="E92" s="112"/>
      <c r="F92" s="120"/>
      <c r="G92" s="113"/>
      <c r="H92" s="113"/>
      <c r="I92" s="113"/>
      <c r="J92" s="113"/>
      <c r="K92" s="113"/>
      <c r="L92" s="113"/>
      <c r="M92" s="120"/>
      <c r="N92" s="113"/>
      <c r="O92" s="113"/>
      <c r="P92" s="113"/>
      <c r="Q92" s="113"/>
      <c r="R92" s="113"/>
      <c r="S92" s="113"/>
      <c r="T92" s="120"/>
      <c r="U92" s="113"/>
      <c r="V92" s="113"/>
      <c r="W92" s="113"/>
      <c r="X92" s="113"/>
      <c r="Y92" s="113"/>
      <c r="Z92" s="113"/>
      <c r="AA92" s="120"/>
      <c r="AB92" s="113"/>
      <c r="AC92" s="113"/>
      <c r="AD92" s="113"/>
      <c r="AE92" s="113"/>
      <c r="AF92" s="113"/>
      <c r="AG92" s="113"/>
      <c r="AH92" s="120"/>
      <c r="AI92" s="113"/>
      <c r="AJ92" s="113"/>
      <c r="AK92" s="113"/>
      <c r="AL92" s="113"/>
      <c r="AM92" s="113"/>
      <c r="AN92" s="113"/>
      <c r="AO92" s="120"/>
      <c r="AP92" s="113"/>
      <c r="AQ92" s="113"/>
      <c r="AR92" s="113"/>
      <c r="AS92" s="113"/>
      <c r="AT92" s="113"/>
      <c r="AU92" s="113"/>
      <c r="AV92" s="120"/>
      <c r="AW92" s="113"/>
      <c r="AX92" s="113"/>
      <c r="AY92" s="113"/>
      <c r="AZ92" s="113"/>
      <c r="BA92" s="113"/>
      <c r="BB92" s="113"/>
      <c r="BC92" s="120"/>
      <c r="BD92" s="113"/>
      <c r="BE92" s="113"/>
      <c r="BF92" s="113"/>
      <c r="BG92" s="113"/>
      <c r="BH92" s="113"/>
      <c r="BI92" s="113"/>
      <c r="BJ92" s="120"/>
      <c r="BK92" s="113"/>
      <c r="BL92" s="113"/>
      <c r="BM92" s="113"/>
      <c r="BN92" s="113"/>
      <c r="BO92" s="113"/>
      <c r="BP92" s="113"/>
      <c r="BQ92" s="120"/>
      <c r="BR92" s="113"/>
      <c r="BS92" s="113"/>
      <c r="BT92" s="113"/>
      <c r="BU92" s="113"/>
      <c r="BV92" s="113"/>
      <c r="BW92" s="113"/>
      <c r="BX92" s="120"/>
      <c r="BY92" s="113"/>
      <c r="BZ92" s="113"/>
      <c r="CA92" s="113"/>
      <c r="CB92" s="113"/>
      <c r="CC92" s="113"/>
      <c r="CD92" s="113"/>
      <c r="CE92" s="120"/>
      <c r="CF92" s="113"/>
      <c r="CG92" s="113"/>
      <c r="CH92" s="113"/>
      <c r="CI92" s="113"/>
      <c r="CJ92" s="113"/>
      <c r="CK92" s="113"/>
      <c r="CL92" s="120"/>
      <c r="CM92" s="113"/>
      <c r="CN92" s="113"/>
    </row>
    <row r="93" spans="2:92" ht="18" customHeight="1" x14ac:dyDescent="0.25">
      <c r="B93" s="113"/>
      <c r="C93" s="114"/>
      <c r="D93" s="112"/>
      <c r="E93" s="112"/>
      <c r="F93" s="120"/>
      <c r="G93" s="113"/>
      <c r="H93" s="113"/>
      <c r="I93" s="113"/>
      <c r="J93" s="113"/>
      <c r="K93" s="113"/>
      <c r="L93" s="113"/>
      <c r="M93" s="120"/>
      <c r="N93" s="113"/>
      <c r="O93" s="113"/>
      <c r="P93" s="113"/>
      <c r="Q93" s="113"/>
      <c r="R93" s="113"/>
      <c r="S93" s="113"/>
      <c r="T93" s="120"/>
      <c r="U93" s="113"/>
      <c r="V93" s="113"/>
      <c r="W93" s="113"/>
      <c r="X93" s="113"/>
      <c r="Y93" s="113"/>
      <c r="Z93" s="113"/>
      <c r="AA93" s="120"/>
      <c r="AB93" s="113"/>
      <c r="AC93" s="113"/>
      <c r="AD93" s="113"/>
      <c r="AE93" s="113"/>
      <c r="AF93" s="113"/>
      <c r="AG93" s="113"/>
      <c r="AH93" s="120"/>
      <c r="AI93" s="113"/>
      <c r="AJ93" s="113"/>
      <c r="AK93" s="113"/>
      <c r="AL93" s="113"/>
      <c r="AM93" s="113"/>
      <c r="AN93" s="113"/>
      <c r="AO93" s="120"/>
      <c r="AP93" s="113"/>
      <c r="AQ93" s="113"/>
      <c r="AR93" s="113"/>
      <c r="AS93" s="113"/>
      <c r="AT93" s="113"/>
      <c r="AU93" s="113"/>
      <c r="AV93" s="120"/>
      <c r="AW93" s="113"/>
      <c r="AX93" s="113"/>
      <c r="AY93" s="113"/>
      <c r="AZ93" s="113"/>
      <c r="BA93" s="113"/>
      <c r="BB93" s="113"/>
      <c r="BC93" s="120"/>
      <c r="BD93" s="113"/>
      <c r="BE93" s="113"/>
      <c r="BF93" s="113"/>
      <c r="BG93" s="113"/>
      <c r="BH93" s="113"/>
      <c r="BI93" s="113"/>
      <c r="BJ93" s="120"/>
      <c r="BK93" s="113"/>
      <c r="BL93" s="113"/>
      <c r="BM93" s="113"/>
      <c r="BN93" s="113"/>
      <c r="BO93" s="113"/>
      <c r="BP93" s="113"/>
      <c r="BQ93" s="120"/>
      <c r="BR93" s="113"/>
      <c r="BS93" s="113"/>
      <c r="BT93" s="113"/>
      <c r="BU93" s="113"/>
      <c r="BV93" s="113"/>
      <c r="BW93" s="113"/>
      <c r="BX93" s="120"/>
      <c r="BY93" s="113"/>
      <c r="BZ93" s="113"/>
      <c r="CA93" s="113"/>
      <c r="CB93" s="113"/>
      <c r="CC93" s="113"/>
      <c r="CD93" s="113"/>
      <c r="CE93" s="120"/>
      <c r="CF93" s="113"/>
      <c r="CG93" s="113"/>
      <c r="CH93" s="113"/>
      <c r="CI93" s="113"/>
      <c r="CJ93" s="113"/>
      <c r="CK93" s="113"/>
      <c r="CL93" s="120"/>
      <c r="CM93" s="113"/>
      <c r="CN93" s="113"/>
    </row>
    <row r="94" spans="2:92" ht="18" customHeight="1" x14ac:dyDescent="0.25">
      <c r="B94" s="113"/>
      <c r="C94" s="114"/>
      <c r="D94" s="112"/>
      <c r="E94" s="112"/>
      <c r="F94" s="120"/>
      <c r="G94" s="113"/>
      <c r="H94" s="113"/>
      <c r="I94" s="113"/>
      <c r="J94" s="113"/>
      <c r="K94" s="113"/>
      <c r="L94" s="113"/>
      <c r="M94" s="120"/>
      <c r="N94" s="113"/>
      <c r="O94" s="113"/>
      <c r="P94" s="113"/>
      <c r="Q94" s="113"/>
      <c r="R94" s="113"/>
      <c r="S94" s="113"/>
      <c r="T94" s="120"/>
      <c r="U94" s="113"/>
      <c r="V94" s="113"/>
      <c r="W94" s="113"/>
      <c r="X94" s="113"/>
      <c r="Y94" s="113"/>
      <c r="Z94" s="113"/>
      <c r="AA94" s="120"/>
      <c r="AB94" s="113"/>
      <c r="AC94" s="113"/>
      <c r="AD94" s="113"/>
      <c r="AE94" s="113"/>
      <c r="AF94" s="113"/>
      <c r="AG94" s="113"/>
      <c r="AH94" s="120"/>
      <c r="AI94" s="113"/>
      <c r="AJ94" s="113"/>
      <c r="AK94" s="113"/>
      <c r="AL94" s="113"/>
      <c r="AM94" s="113"/>
      <c r="AN94" s="113"/>
      <c r="AO94" s="120"/>
      <c r="AP94" s="113"/>
      <c r="AQ94" s="113"/>
      <c r="AR94" s="113"/>
      <c r="AS94" s="113"/>
      <c r="AT94" s="113"/>
      <c r="AU94" s="113"/>
      <c r="AV94" s="120"/>
      <c r="AW94" s="113"/>
      <c r="AX94" s="113"/>
      <c r="AY94" s="113"/>
      <c r="AZ94" s="113"/>
      <c r="BA94" s="113"/>
      <c r="BB94" s="113"/>
      <c r="BC94" s="120"/>
      <c r="BD94" s="113"/>
      <c r="BE94" s="113"/>
      <c r="BF94" s="113"/>
      <c r="BG94" s="113"/>
      <c r="BH94" s="113"/>
      <c r="BI94" s="113"/>
      <c r="BJ94" s="120"/>
      <c r="BK94" s="113"/>
      <c r="BL94" s="113"/>
      <c r="BM94" s="113"/>
      <c r="BN94" s="113"/>
      <c r="BO94" s="113"/>
      <c r="BP94" s="113"/>
      <c r="BQ94" s="120"/>
      <c r="BR94" s="113"/>
      <c r="BS94" s="113"/>
      <c r="BT94" s="113"/>
      <c r="BU94" s="113"/>
      <c r="BV94" s="113"/>
      <c r="BW94" s="113"/>
      <c r="BX94" s="120"/>
      <c r="BY94" s="113"/>
      <c r="BZ94" s="113"/>
      <c r="CA94" s="113"/>
      <c r="CB94" s="113"/>
      <c r="CC94" s="113"/>
      <c r="CD94" s="113"/>
      <c r="CE94" s="120"/>
      <c r="CF94" s="113"/>
      <c r="CG94" s="113"/>
      <c r="CH94" s="113"/>
      <c r="CI94" s="113"/>
      <c r="CJ94" s="113"/>
      <c r="CK94" s="113"/>
      <c r="CL94" s="120"/>
      <c r="CM94" s="113"/>
      <c r="CN94" s="113"/>
    </row>
    <row r="95" spans="2:92" ht="18" customHeight="1" x14ac:dyDescent="0.25">
      <c r="B95" s="113"/>
      <c r="C95" s="114"/>
      <c r="D95" s="112"/>
      <c r="E95" s="112"/>
      <c r="F95" s="120"/>
      <c r="G95" s="113"/>
      <c r="H95" s="113"/>
      <c r="I95" s="113"/>
      <c r="J95" s="113"/>
      <c r="K95" s="113"/>
      <c r="L95" s="113"/>
      <c r="M95" s="120"/>
      <c r="N95" s="113"/>
      <c r="O95" s="113"/>
      <c r="P95" s="113"/>
      <c r="Q95" s="113"/>
      <c r="R95" s="113"/>
      <c r="S95" s="113"/>
      <c r="T95" s="120"/>
      <c r="U95" s="113"/>
      <c r="V95" s="113"/>
      <c r="W95" s="113"/>
      <c r="X95" s="113"/>
      <c r="Y95" s="113"/>
      <c r="Z95" s="113"/>
      <c r="AA95" s="120"/>
      <c r="AB95" s="113"/>
      <c r="AC95" s="113"/>
      <c r="AD95" s="113"/>
      <c r="AE95" s="113"/>
      <c r="AF95" s="113"/>
      <c r="AG95" s="113"/>
      <c r="AH95" s="120"/>
      <c r="AI95" s="113"/>
      <c r="AJ95" s="113"/>
      <c r="AK95" s="113"/>
      <c r="AL95" s="113"/>
      <c r="AM95" s="113"/>
      <c r="AN95" s="113"/>
      <c r="AO95" s="120"/>
      <c r="AP95" s="113"/>
      <c r="AQ95" s="113"/>
      <c r="AR95" s="113"/>
      <c r="AS95" s="113"/>
      <c r="AT95" s="113"/>
      <c r="AU95" s="113"/>
      <c r="AV95" s="120"/>
      <c r="AW95" s="113"/>
      <c r="AX95" s="113"/>
      <c r="AY95" s="113"/>
      <c r="AZ95" s="113"/>
      <c r="BA95" s="113"/>
      <c r="BB95" s="113"/>
      <c r="BC95" s="120"/>
      <c r="BD95" s="113"/>
      <c r="BE95" s="113"/>
      <c r="BF95" s="113"/>
      <c r="BG95" s="113"/>
      <c r="BH95" s="113"/>
      <c r="BI95" s="113"/>
      <c r="BJ95" s="120"/>
      <c r="BK95" s="113"/>
      <c r="BL95" s="113"/>
      <c r="BM95" s="113"/>
      <c r="BN95" s="113"/>
      <c r="BO95" s="113"/>
      <c r="BP95" s="113"/>
      <c r="BQ95" s="120"/>
      <c r="BR95" s="113"/>
      <c r="BS95" s="113"/>
      <c r="BT95" s="113"/>
      <c r="BU95" s="113"/>
      <c r="BV95" s="113"/>
      <c r="BW95" s="113"/>
      <c r="BX95" s="120"/>
      <c r="BY95" s="113"/>
      <c r="BZ95" s="113"/>
      <c r="CA95" s="113"/>
      <c r="CB95" s="113"/>
      <c r="CC95" s="113"/>
      <c r="CD95" s="113"/>
      <c r="CE95" s="120"/>
      <c r="CF95" s="113"/>
      <c r="CG95" s="113"/>
      <c r="CH95" s="113"/>
      <c r="CI95" s="113"/>
      <c r="CJ95" s="113"/>
      <c r="CK95" s="113"/>
      <c r="CL95" s="120"/>
      <c r="CM95" s="113"/>
      <c r="CN95" s="113"/>
    </row>
    <row r="96" spans="2:92" ht="18" customHeight="1" x14ac:dyDescent="0.25">
      <c r="B96" s="113"/>
      <c r="C96" s="114"/>
      <c r="D96" s="112"/>
      <c r="E96" s="112"/>
      <c r="F96" s="120"/>
      <c r="G96" s="113"/>
      <c r="H96" s="113"/>
      <c r="I96" s="113"/>
      <c r="J96" s="113"/>
      <c r="K96" s="113"/>
      <c r="L96" s="113"/>
      <c r="M96" s="120"/>
      <c r="N96" s="113"/>
      <c r="O96" s="113"/>
      <c r="P96" s="113"/>
      <c r="Q96" s="113"/>
      <c r="R96" s="113"/>
      <c r="S96" s="113"/>
      <c r="T96" s="120"/>
      <c r="U96" s="113"/>
      <c r="V96" s="113"/>
      <c r="W96" s="113"/>
      <c r="X96" s="113"/>
      <c r="Y96" s="113"/>
      <c r="Z96" s="113"/>
      <c r="AA96" s="120"/>
      <c r="AB96" s="113"/>
      <c r="AC96" s="113"/>
      <c r="AD96" s="113"/>
      <c r="AE96" s="113"/>
      <c r="AF96" s="113"/>
      <c r="AG96" s="113"/>
      <c r="AH96" s="120"/>
      <c r="AI96" s="113"/>
      <c r="AJ96" s="113"/>
      <c r="AK96" s="113"/>
      <c r="AL96" s="113"/>
      <c r="AM96" s="113"/>
      <c r="AN96" s="113"/>
      <c r="AO96" s="120"/>
      <c r="AP96" s="113"/>
      <c r="AQ96" s="113"/>
      <c r="AR96" s="113"/>
      <c r="AS96" s="113"/>
      <c r="AT96" s="113"/>
      <c r="AU96" s="113"/>
      <c r="AV96" s="120"/>
      <c r="AW96" s="113"/>
      <c r="AX96" s="113"/>
      <c r="AY96" s="113"/>
      <c r="AZ96" s="113"/>
      <c r="BA96" s="113"/>
      <c r="BB96" s="113"/>
      <c r="BC96" s="120"/>
      <c r="BD96" s="113"/>
      <c r="BE96" s="113"/>
      <c r="BF96" s="113"/>
      <c r="BG96" s="113"/>
      <c r="BH96" s="113"/>
      <c r="BI96" s="113"/>
      <c r="BJ96" s="120"/>
      <c r="BK96" s="113"/>
      <c r="BL96" s="113"/>
      <c r="BM96" s="113"/>
      <c r="BN96" s="113"/>
      <c r="BO96" s="113"/>
      <c r="BP96" s="113"/>
      <c r="BQ96" s="120"/>
      <c r="BR96" s="113"/>
      <c r="BS96" s="113"/>
      <c r="BT96" s="113"/>
      <c r="BU96" s="113"/>
      <c r="BV96" s="113"/>
      <c r="BW96" s="113"/>
      <c r="BX96" s="120"/>
      <c r="BY96" s="113"/>
      <c r="BZ96" s="113"/>
      <c r="CA96" s="113"/>
      <c r="CB96" s="113"/>
      <c r="CC96" s="113"/>
      <c r="CD96" s="113"/>
      <c r="CE96" s="120"/>
      <c r="CF96" s="113"/>
      <c r="CG96" s="113"/>
      <c r="CH96" s="113"/>
      <c r="CI96" s="113"/>
      <c r="CJ96" s="113"/>
      <c r="CK96" s="113"/>
      <c r="CL96" s="120"/>
      <c r="CM96" s="113"/>
      <c r="CN96" s="113"/>
    </row>
    <row r="97" spans="2:92" ht="18" customHeight="1" x14ac:dyDescent="0.25">
      <c r="B97" s="113"/>
      <c r="C97" s="114"/>
      <c r="D97" s="112"/>
      <c r="E97" s="112"/>
      <c r="F97" s="120"/>
      <c r="G97" s="113"/>
      <c r="H97" s="113"/>
      <c r="I97" s="113"/>
      <c r="J97" s="113"/>
      <c r="K97" s="113"/>
      <c r="L97" s="113"/>
      <c r="M97" s="120"/>
      <c r="N97" s="113"/>
      <c r="O97" s="113"/>
      <c r="P97" s="113"/>
      <c r="Q97" s="113"/>
      <c r="R97" s="113"/>
      <c r="S97" s="113"/>
      <c r="T97" s="120"/>
      <c r="U97" s="113"/>
      <c r="V97" s="113"/>
      <c r="W97" s="113"/>
      <c r="X97" s="113"/>
      <c r="Y97" s="113"/>
      <c r="Z97" s="113"/>
      <c r="AA97" s="120"/>
      <c r="AB97" s="113"/>
      <c r="AC97" s="113"/>
      <c r="AD97" s="113"/>
      <c r="AE97" s="113"/>
      <c r="AF97" s="113"/>
      <c r="AG97" s="113"/>
      <c r="AH97" s="120"/>
      <c r="AI97" s="113"/>
      <c r="AJ97" s="113"/>
      <c r="AK97" s="113"/>
      <c r="AL97" s="113"/>
      <c r="AM97" s="113"/>
      <c r="AN97" s="113"/>
      <c r="AO97" s="120"/>
      <c r="AP97" s="113"/>
      <c r="AQ97" s="113"/>
      <c r="AR97" s="113"/>
      <c r="AS97" s="113"/>
      <c r="AT97" s="113"/>
      <c r="AU97" s="113"/>
      <c r="AV97" s="120"/>
      <c r="AW97" s="113"/>
      <c r="AX97" s="113"/>
      <c r="AY97" s="113"/>
      <c r="AZ97" s="113"/>
      <c r="BA97" s="113"/>
      <c r="BB97" s="113"/>
      <c r="BC97" s="120"/>
      <c r="BD97" s="113"/>
      <c r="BE97" s="113"/>
      <c r="BF97" s="113"/>
      <c r="BG97" s="113"/>
      <c r="BH97" s="113"/>
      <c r="BI97" s="113"/>
      <c r="BJ97" s="120"/>
      <c r="BK97" s="113"/>
      <c r="BL97" s="113"/>
      <c r="BM97" s="113"/>
      <c r="BN97" s="113"/>
      <c r="BO97" s="113"/>
      <c r="BP97" s="113"/>
      <c r="BQ97" s="120"/>
      <c r="BR97" s="113"/>
      <c r="BS97" s="113"/>
      <c r="BT97" s="113"/>
      <c r="BU97" s="113"/>
      <c r="BV97" s="113"/>
      <c r="BW97" s="113"/>
      <c r="BX97" s="120"/>
      <c r="BY97" s="113"/>
      <c r="BZ97" s="113"/>
      <c r="CA97" s="113"/>
      <c r="CB97" s="113"/>
      <c r="CC97" s="113"/>
      <c r="CD97" s="113"/>
      <c r="CE97" s="120"/>
      <c r="CF97" s="113"/>
      <c r="CG97" s="113"/>
      <c r="CH97" s="113"/>
      <c r="CI97" s="113"/>
      <c r="CJ97" s="113"/>
      <c r="CK97" s="113"/>
      <c r="CL97" s="120"/>
      <c r="CM97" s="113"/>
      <c r="CN97" s="113"/>
    </row>
    <row r="98" spans="2:92" ht="18" customHeight="1" x14ac:dyDescent="0.25">
      <c r="B98" s="113"/>
      <c r="C98" s="114"/>
      <c r="D98" s="112"/>
      <c r="E98" s="112"/>
      <c r="F98" s="120"/>
      <c r="G98" s="113"/>
      <c r="H98" s="113"/>
      <c r="I98" s="113"/>
      <c r="J98" s="113"/>
      <c r="K98" s="113"/>
      <c r="L98" s="113"/>
      <c r="M98" s="120"/>
      <c r="N98" s="113"/>
      <c r="O98" s="113"/>
      <c r="P98" s="113"/>
      <c r="Q98" s="113"/>
      <c r="R98" s="113"/>
      <c r="S98" s="113"/>
      <c r="T98" s="120"/>
      <c r="U98" s="113"/>
      <c r="V98" s="113"/>
      <c r="W98" s="113"/>
      <c r="X98" s="113"/>
      <c r="Y98" s="113"/>
      <c r="Z98" s="113"/>
      <c r="AA98" s="120"/>
      <c r="AB98" s="113"/>
      <c r="AC98" s="113"/>
      <c r="AD98" s="113"/>
      <c r="AE98" s="113"/>
      <c r="AF98" s="113"/>
      <c r="AG98" s="113"/>
      <c r="AH98" s="120"/>
      <c r="AI98" s="113"/>
      <c r="AJ98" s="113"/>
      <c r="AK98" s="113"/>
      <c r="AL98" s="113"/>
      <c r="AM98" s="113"/>
      <c r="AN98" s="113"/>
      <c r="AO98" s="120"/>
      <c r="AP98" s="113"/>
      <c r="AQ98" s="113"/>
      <c r="AR98" s="113"/>
      <c r="AS98" s="113"/>
      <c r="AT98" s="113"/>
      <c r="AU98" s="113"/>
      <c r="AV98" s="120"/>
      <c r="AW98" s="113"/>
      <c r="AX98" s="113"/>
      <c r="AY98" s="113"/>
      <c r="AZ98" s="113"/>
      <c r="BA98" s="113"/>
      <c r="BB98" s="113"/>
      <c r="BC98" s="120"/>
      <c r="BD98" s="113"/>
      <c r="BE98" s="113"/>
      <c r="BF98" s="113"/>
      <c r="BG98" s="113"/>
      <c r="BH98" s="113"/>
      <c r="BI98" s="113"/>
      <c r="BJ98" s="120"/>
      <c r="BK98" s="113"/>
      <c r="BL98" s="113"/>
      <c r="BM98" s="113"/>
      <c r="BN98" s="113"/>
      <c r="BO98" s="113"/>
      <c r="BP98" s="113"/>
      <c r="BQ98" s="120"/>
      <c r="BR98" s="113"/>
      <c r="BS98" s="113"/>
      <c r="BT98" s="113"/>
      <c r="BU98" s="113"/>
      <c r="BV98" s="113"/>
      <c r="BW98" s="113"/>
      <c r="BX98" s="120"/>
      <c r="BY98" s="113"/>
      <c r="BZ98" s="113"/>
      <c r="CA98" s="113"/>
      <c r="CB98" s="113"/>
      <c r="CC98" s="113"/>
      <c r="CD98" s="113"/>
      <c r="CE98" s="120"/>
      <c r="CF98" s="113"/>
      <c r="CG98" s="113"/>
      <c r="CH98" s="113"/>
      <c r="CI98" s="113"/>
      <c r="CJ98" s="113"/>
      <c r="CK98" s="113"/>
      <c r="CL98" s="120"/>
      <c r="CM98" s="113"/>
      <c r="CN98" s="113"/>
    </row>
    <row r="99" spans="2:92" ht="18" customHeight="1" x14ac:dyDescent="0.25">
      <c r="B99" s="113"/>
      <c r="C99" s="114"/>
      <c r="D99" s="112"/>
      <c r="E99" s="112"/>
      <c r="F99" s="120"/>
      <c r="G99" s="113"/>
      <c r="H99" s="113"/>
      <c r="I99" s="113"/>
      <c r="J99" s="113"/>
      <c r="K99" s="113"/>
      <c r="L99" s="113"/>
      <c r="M99" s="120"/>
      <c r="N99" s="113"/>
      <c r="O99" s="113"/>
      <c r="P99" s="113"/>
      <c r="Q99" s="113"/>
      <c r="R99" s="113"/>
      <c r="S99" s="113"/>
      <c r="T99" s="120"/>
      <c r="U99" s="113"/>
      <c r="V99" s="113"/>
      <c r="W99" s="113"/>
      <c r="X99" s="113"/>
      <c r="Y99" s="113"/>
      <c r="Z99" s="113"/>
      <c r="AA99" s="120"/>
      <c r="AB99" s="113"/>
      <c r="AC99" s="113"/>
      <c r="AD99" s="113"/>
      <c r="AE99" s="113"/>
      <c r="AF99" s="113"/>
      <c r="AG99" s="113"/>
      <c r="AH99" s="120"/>
      <c r="AI99" s="113"/>
      <c r="AJ99" s="113"/>
      <c r="AK99" s="113"/>
      <c r="AL99" s="113"/>
      <c r="AM99" s="113"/>
      <c r="AN99" s="113"/>
      <c r="AO99" s="120"/>
      <c r="AP99" s="113"/>
      <c r="AQ99" s="113"/>
      <c r="AR99" s="113"/>
      <c r="AS99" s="113"/>
      <c r="AT99" s="113"/>
      <c r="AU99" s="113"/>
      <c r="AV99" s="120"/>
      <c r="AW99" s="113"/>
      <c r="AX99" s="113"/>
      <c r="AY99" s="113"/>
      <c r="AZ99" s="113"/>
      <c r="BA99" s="113"/>
      <c r="BB99" s="113"/>
      <c r="BC99" s="120"/>
      <c r="BD99" s="113"/>
      <c r="BE99" s="113"/>
      <c r="BF99" s="113"/>
      <c r="BG99" s="113"/>
      <c r="BH99" s="113"/>
      <c r="BI99" s="113"/>
      <c r="BJ99" s="120"/>
      <c r="BK99" s="113"/>
      <c r="BL99" s="113"/>
      <c r="BM99" s="113"/>
      <c r="BN99" s="113"/>
      <c r="BO99" s="113"/>
      <c r="BP99" s="113"/>
      <c r="BQ99" s="120"/>
      <c r="BR99" s="113"/>
      <c r="BS99" s="113"/>
      <c r="BT99" s="113"/>
      <c r="BU99" s="113"/>
      <c r="BV99" s="113"/>
      <c r="BW99" s="113"/>
      <c r="BX99" s="120"/>
      <c r="BY99" s="113"/>
      <c r="BZ99" s="113"/>
      <c r="CA99" s="113"/>
      <c r="CB99" s="113"/>
      <c r="CC99" s="113"/>
      <c r="CD99" s="113"/>
      <c r="CE99" s="120"/>
      <c r="CF99" s="113"/>
      <c r="CG99" s="113"/>
      <c r="CH99" s="113"/>
      <c r="CI99" s="113"/>
      <c r="CJ99" s="113"/>
      <c r="CK99" s="113"/>
      <c r="CL99" s="120"/>
      <c r="CM99" s="113"/>
      <c r="CN99" s="113"/>
    </row>
    <row r="100" spans="2:92" ht="18" customHeight="1" x14ac:dyDescent="0.25">
      <c r="B100" s="113"/>
      <c r="C100" s="114"/>
      <c r="D100" s="112"/>
      <c r="E100" s="112"/>
      <c r="F100" s="120"/>
      <c r="G100" s="113"/>
      <c r="H100" s="113"/>
      <c r="I100" s="113"/>
      <c r="J100" s="113"/>
      <c r="K100" s="113"/>
      <c r="L100" s="113"/>
      <c r="M100" s="120"/>
      <c r="N100" s="113"/>
      <c r="O100" s="113"/>
      <c r="P100" s="113"/>
      <c r="Q100" s="113"/>
      <c r="R100" s="113"/>
      <c r="S100" s="113"/>
      <c r="T100" s="120"/>
      <c r="U100" s="113"/>
      <c r="V100" s="113"/>
      <c r="W100" s="113"/>
      <c r="X100" s="113"/>
      <c r="Y100" s="113"/>
      <c r="Z100" s="113"/>
      <c r="AA100" s="120"/>
      <c r="AB100" s="113"/>
      <c r="AC100" s="113"/>
      <c r="AD100" s="113"/>
      <c r="AE100" s="113"/>
      <c r="AF100" s="113"/>
      <c r="AG100" s="113"/>
      <c r="AH100" s="120"/>
      <c r="AI100" s="113"/>
      <c r="AJ100" s="113"/>
      <c r="AK100" s="113"/>
      <c r="AL100" s="113"/>
      <c r="AM100" s="113"/>
      <c r="AN100" s="113"/>
      <c r="AO100" s="120"/>
      <c r="AP100" s="113"/>
      <c r="AQ100" s="113"/>
      <c r="AR100" s="113"/>
      <c r="AS100" s="113"/>
      <c r="AT100" s="113"/>
      <c r="AU100" s="113"/>
      <c r="AV100" s="120"/>
      <c r="AW100" s="113"/>
      <c r="AX100" s="113"/>
      <c r="AY100" s="113"/>
      <c r="AZ100" s="113"/>
      <c r="BA100" s="113"/>
      <c r="BB100" s="113"/>
      <c r="BC100" s="120"/>
      <c r="BD100" s="113"/>
      <c r="BE100" s="113"/>
      <c r="BF100" s="113"/>
      <c r="BG100" s="113"/>
      <c r="BH100" s="113"/>
      <c r="BI100" s="113"/>
      <c r="BJ100" s="120"/>
      <c r="BK100" s="113"/>
      <c r="BL100" s="113"/>
      <c r="BM100" s="113"/>
      <c r="BN100" s="113"/>
      <c r="BO100" s="113"/>
      <c r="BP100" s="113"/>
      <c r="BQ100" s="120"/>
      <c r="BR100" s="113"/>
      <c r="BS100" s="113"/>
      <c r="BT100" s="113"/>
      <c r="BU100" s="113"/>
      <c r="BV100" s="113"/>
      <c r="BW100" s="113"/>
      <c r="BX100" s="120"/>
      <c r="BY100" s="113"/>
      <c r="BZ100" s="113"/>
      <c r="CA100" s="113"/>
      <c r="CB100" s="113"/>
      <c r="CC100" s="113"/>
      <c r="CD100" s="113"/>
      <c r="CE100" s="120"/>
      <c r="CF100" s="113"/>
      <c r="CG100" s="113"/>
      <c r="CH100" s="113"/>
      <c r="CI100" s="113"/>
      <c r="CJ100" s="113"/>
      <c r="CK100" s="113"/>
      <c r="CL100" s="120"/>
      <c r="CM100" s="113"/>
      <c r="CN100" s="113"/>
    </row>
    <row r="101" spans="2:92" ht="18" customHeight="1" x14ac:dyDescent="0.25">
      <c r="B101" s="113"/>
      <c r="C101" s="114"/>
      <c r="D101" s="112"/>
      <c r="E101" s="112"/>
      <c r="F101" s="120"/>
      <c r="G101" s="113"/>
      <c r="H101" s="113"/>
      <c r="I101" s="113"/>
      <c r="J101" s="113"/>
      <c r="K101" s="113"/>
      <c r="L101" s="113"/>
      <c r="M101" s="120"/>
      <c r="N101" s="113"/>
      <c r="O101" s="113"/>
      <c r="P101" s="113"/>
      <c r="Q101" s="113"/>
      <c r="R101" s="113"/>
      <c r="S101" s="113"/>
      <c r="T101" s="120"/>
      <c r="U101" s="113"/>
      <c r="V101" s="113"/>
      <c r="W101" s="113"/>
      <c r="X101" s="113"/>
      <c r="Y101" s="113"/>
      <c r="Z101" s="113"/>
      <c r="AA101" s="120"/>
      <c r="AB101" s="113"/>
      <c r="AC101" s="113"/>
      <c r="AD101" s="113"/>
      <c r="AE101" s="113"/>
      <c r="AF101" s="113"/>
      <c r="AG101" s="113"/>
      <c r="AH101" s="120"/>
      <c r="AI101" s="113"/>
      <c r="AJ101" s="113"/>
      <c r="AK101" s="113"/>
      <c r="AL101" s="113"/>
      <c r="AM101" s="113"/>
      <c r="AN101" s="113"/>
      <c r="AO101" s="120"/>
      <c r="AP101" s="113"/>
      <c r="AQ101" s="113"/>
      <c r="AR101" s="113"/>
      <c r="AS101" s="113"/>
      <c r="AT101" s="113"/>
      <c r="AU101" s="113"/>
      <c r="AV101" s="120"/>
      <c r="AW101" s="113"/>
      <c r="AX101" s="113"/>
      <c r="AY101" s="113"/>
      <c r="AZ101" s="113"/>
      <c r="BA101" s="113"/>
      <c r="BB101" s="113"/>
      <c r="BC101" s="120"/>
      <c r="BD101" s="113"/>
      <c r="BE101" s="113"/>
      <c r="BF101" s="113"/>
      <c r="BG101" s="113"/>
      <c r="BH101" s="113"/>
      <c r="BI101" s="113"/>
      <c r="BJ101" s="120"/>
      <c r="BK101" s="113"/>
      <c r="BL101" s="113"/>
      <c r="BM101" s="113"/>
      <c r="BN101" s="113"/>
      <c r="BO101" s="113"/>
      <c r="BP101" s="113"/>
      <c r="BQ101" s="120"/>
      <c r="BR101" s="113"/>
      <c r="BS101" s="113"/>
      <c r="BT101" s="113"/>
      <c r="BU101" s="113"/>
      <c r="BV101" s="113"/>
      <c r="BW101" s="113"/>
      <c r="BX101" s="120"/>
      <c r="BY101" s="113"/>
      <c r="BZ101" s="113"/>
      <c r="CA101" s="113"/>
      <c r="CB101" s="113"/>
      <c r="CC101" s="113"/>
      <c r="CD101" s="113"/>
      <c r="CE101" s="120"/>
      <c r="CF101" s="113"/>
      <c r="CG101" s="113"/>
      <c r="CH101" s="113"/>
      <c r="CI101" s="113"/>
      <c r="CJ101" s="113"/>
      <c r="CK101" s="113"/>
      <c r="CL101" s="120"/>
      <c r="CM101" s="113"/>
      <c r="CN101" s="113"/>
    </row>
    <row r="102" spans="2:92" ht="18" customHeight="1" x14ac:dyDescent="0.25">
      <c r="B102" s="113"/>
      <c r="C102" s="114"/>
      <c r="D102" s="112"/>
      <c r="E102" s="112"/>
      <c r="F102" s="120"/>
      <c r="G102" s="113"/>
      <c r="H102" s="113"/>
      <c r="I102" s="113"/>
      <c r="J102" s="113"/>
      <c r="K102" s="113"/>
      <c r="L102" s="113"/>
      <c r="M102" s="120"/>
      <c r="N102" s="113"/>
      <c r="O102" s="113"/>
      <c r="P102" s="113"/>
      <c r="Q102" s="113"/>
      <c r="R102" s="113"/>
      <c r="S102" s="113"/>
      <c r="T102" s="120"/>
      <c r="U102" s="113"/>
      <c r="V102" s="113"/>
      <c r="W102" s="113"/>
      <c r="X102" s="113"/>
      <c r="Y102" s="113"/>
      <c r="Z102" s="113"/>
      <c r="AA102" s="120"/>
      <c r="AB102" s="113"/>
      <c r="AC102" s="113"/>
      <c r="AD102" s="113"/>
      <c r="AE102" s="113"/>
      <c r="AF102" s="113"/>
      <c r="AG102" s="113"/>
      <c r="AH102" s="120"/>
      <c r="AI102" s="113"/>
      <c r="AJ102" s="113"/>
      <c r="AK102" s="113"/>
      <c r="AL102" s="113"/>
      <c r="AM102" s="113"/>
      <c r="AN102" s="113"/>
      <c r="AO102" s="120"/>
      <c r="AP102" s="113"/>
      <c r="AQ102" s="113"/>
      <c r="AR102" s="113"/>
      <c r="AS102" s="113"/>
      <c r="AT102" s="113"/>
      <c r="AU102" s="113"/>
      <c r="AV102" s="120"/>
      <c r="AW102" s="113"/>
      <c r="AX102" s="113"/>
      <c r="AY102" s="113"/>
      <c r="AZ102" s="113"/>
      <c r="BA102" s="113"/>
      <c r="BB102" s="113"/>
      <c r="BC102" s="120"/>
      <c r="BD102" s="113"/>
      <c r="BE102" s="113"/>
      <c r="BF102" s="113"/>
      <c r="BG102" s="113"/>
      <c r="BH102" s="113"/>
      <c r="BI102" s="113"/>
      <c r="BJ102" s="120"/>
      <c r="BK102" s="113"/>
      <c r="BL102" s="113"/>
      <c r="BM102" s="113"/>
      <c r="BN102" s="113"/>
      <c r="BO102" s="113"/>
      <c r="BP102" s="113"/>
      <c r="BQ102" s="120"/>
      <c r="BR102" s="113"/>
      <c r="BS102" s="113"/>
      <c r="BT102" s="113"/>
      <c r="BU102" s="113"/>
      <c r="BV102" s="113"/>
      <c r="BW102" s="113"/>
      <c r="BX102" s="120"/>
      <c r="BY102" s="113"/>
      <c r="BZ102" s="113"/>
      <c r="CA102" s="113"/>
      <c r="CB102" s="113"/>
      <c r="CC102" s="113"/>
      <c r="CD102" s="113"/>
      <c r="CE102" s="120"/>
      <c r="CF102" s="113"/>
      <c r="CG102" s="113"/>
      <c r="CH102" s="113"/>
      <c r="CI102" s="113"/>
      <c r="CJ102" s="113"/>
      <c r="CK102" s="113"/>
      <c r="CL102" s="120"/>
      <c r="CM102" s="113"/>
      <c r="CN102" s="113"/>
    </row>
    <row r="103" spans="2:92" ht="18" customHeight="1" x14ac:dyDescent="0.25">
      <c r="B103" s="113"/>
      <c r="C103" s="114"/>
      <c r="D103" s="112"/>
      <c r="E103" s="112"/>
      <c r="F103" s="120"/>
      <c r="G103" s="113"/>
      <c r="H103" s="113"/>
      <c r="I103" s="113"/>
      <c r="J103" s="113"/>
      <c r="K103" s="113"/>
      <c r="L103" s="113"/>
      <c r="M103" s="120"/>
      <c r="N103" s="113"/>
      <c r="O103" s="113"/>
      <c r="P103" s="113"/>
      <c r="Q103" s="113"/>
      <c r="R103" s="113"/>
      <c r="S103" s="113"/>
      <c r="T103" s="120"/>
      <c r="U103" s="113"/>
      <c r="V103" s="113"/>
      <c r="W103" s="113"/>
      <c r="X103" s="113"/>
      <c r="Y103" s="113"/>
      <c r="Z103" s="113"/>
      <c r="AA103" s="120"/>
      <c r="AB103" s="113"/>
      <c r="AC103" s="113"/>
      <c r="AD103" s="113"/>
      <c r="AE103" s="113"/>
      <c r="AF103" s="113"/>
      <c r="AG103" s="113"/>
      <c r="AH103" s="120"/>
      <c r="AI103" s="113"/>
      <c r="AJ103" s="113"/>
      <c r="AK103" s="113"/>
      <c r="AL103" s="113"/>
      <c r="AM103" s="113"/>
      <c r="AN103" s="113"/>
      <c r="AO103" s="120"/>
      <c r="AP103" s="113"/>
      <c r="AQ103" s="113"/>
      <c r="AR103" s="113"/>
      <c r="AS103" s="113"/>
      <c r="AT103" s="113"/>
      <c r="AU103" s="113"/>
      <c r="AV103" s="120"/>
      <c r="AW103" s="113"/>
      <c r="AX103" s="113"/>
      <c r="AY103" s="113"/>
      <c r="AZ103" s="113"/>
      <c r="BA103" s="113"/>
      <c r="BB103" s="113"/>
      <c r="BC103" s="120"/>
      <c r="BD103" s="113"/>
      <c r="BE103" s="113"/>
      <c r="BF103" s="113"/>
      <c r="BG103" s="113"/>
      <c r="BH103" s="113"/>
      <c r="BI103" s="113"/>
      <c r="BJ103" s="120"/>
      <c r="BK103" s="113"/>
      <c r="BL103" s="113"/>
      <c r="BM103" s="113"/>
      <c r="BN103" s="113"/>
      <c r="BO103" s="113"/>
      <c r="BP103" s="113"/>
      <c r="BQ103" s="120"/>
      <c r="BR103" s="113"/>
      <c r="BS103" s="113"/>
      <c r="BT103" s="113"/>
      <c r="BU103" s="113"/>
      <c r="BV103" s="113"/>
      <c r="BW103" s="113"/>
      <c r="BX103" s="120"/>
      <c r="BY103" s="113"/>
      <c r="BZ103" s="113"/>
      <c r="CA103" s="113"/>
      <c r="CB103" s="113"/>
      <c r="CC103" s="113"/>
      <c r="CD103" s="113"/>
      <c r="CE103" s="120"/>
      <c r="CF103" s="113"/>
      <c r="CG103" s="113"/>
      <c r="CH103" s="113"/>
      <c r="CI103" s="113"/>
      <c r="CJ103" s="113"/>
      <c r="CK103" s="113"/>
      <c r="CL103" s="120"/>
      <c r="CM103" s="113"/>
      <c r="CN103" s="113"/>
    </row>
    <row r="104" spans="2:92" ht="18" customHeight="1" x14ac:dyDescent="0.25">
      <c r="B104" s="113"/>
      <c r="C104" s="114"/>
      <c r="D104" s="112"/>
      <c r="E104" s="112"/>
      <c r="F104" s="120"/>
      <c r="G104" s="113"/>
      <c r="H104" s="113"/>
      <c r="I104" s="113"/>
      <c r="J104" s="113"/>
      <c r="K104" s="113"/>
      <c r="L104" s="113"/>
      <c r="M104" s="120"/>
      <c r="N104" s="113"/>
      <c r="O104" s="113"/>
      <c r="P104" s="113"/>
      <c r="Q104" s="113"/>
      <c r="R104" s="113"/>
      <c r="S104" s="113"/>
      <c r="T104" s="120"/>
      <c r="U104" s="113"/>
      <c r="V104" s="113"/>
      <c r="W104" s="113"/>
      <c r="X104" s="113"/>
      <c r="Y104" s="113"/>
      <c r="Z104" s="113"/>
      <c r="AA104" s="120"/>
      <c r="AB104" s="113"/>
      <c r="AC104" s="113"/>
      <c r="AD104" s="113"/>
      <c r="AE104" s="113"/>
      <c r="AF104" s="113"/>
      <c r="AG104" s="113"/>
      <c r="AH104" s="120"/>
      <c r="AI104" s="113"/>
      <c r="AJ104" s="113"/>
      <c r="AK104" s="113"/>
      <c r="AL104" s="113"/>
      <c r="AM104" s="113"/>
      <c r="AN104" s="113"/>
      <c r="AO104" s="120"/>
      <c r="AP104" s="113"/>
      <c r="AQ104" s="113"/>
      <c r="AR104" s="113"/>
      <c r="AS104" s="113"/>
      <c r="AT104" s="113"/>
      <c r="AU104" s="113"/>
      <c r="AV104" s="120"/>
      <c r="AW104" s="113"/>
      <c r="AX104" s="113"/>
      <c r="AY104" s="113"/>
      <c r="AZ104" s="113"/>
      <c r="BA104" s="113"/>
      <c r="BB104" s="113"/>
      <c r="BC104" s="120"/>
      <c r="BD104" s="113"/>
      <c r="BE104" s="113"/>
      <c r="BF104" s="113"/>
      <c r="BG104" s="113"/>
      <c r="BH104" s="113"/>
      <c r="BI104" s="113"/>
      <c r="BJ104" s="120"/>
      <c r="BK104" s="113"/>
      <c r="BL104" s="113"/>
      <c r="BM104" s="113"/>
      <c r="BN104" s="113"/>
      <c r="BO104" s="113"/>
      <c r="BP104" s="113"/>
      <c r="BQ104" s="120"/>
      <c r="BR104" s="113"/>
      <c r="BS104" s="113"/>
      <c r="BT104" s="113"/>
      <c r="BU104" s="113"/>
      <c r="BV104" s="113"/>
      <c r="BW104" s="113"/>
      <c r="BX104" s="120"/>
      <c r="BY104" s="113"/>
      <c r="BZ104" s="113"/>
      <c r="CA104" s="113"/>
      <c r="CB104" s="113"/>
      <c r="CC104" s="113"/>
      <c r="CD104" s="113"/>
      <c r="CE104" s="120"/>
      <c r="CF104" s="113"/>
      <c r="CG104" s="113"/>
      <c r="CH104" s="113"/>
      <c r="CI104" s="113"/>
      <c r="CJ104" s="113"/>
      <c r="CK104" s="113"/>
      <c r="CL104" s="120"/>
      <c r="CM104" s="113"/>
      <c r="CN104" s="113"/>
    </row>
    <row r="105" spans="2:92" ht="18" customHeight="1" x14ac:dyDescent="0.25">
      <c r="B105" s="113"/>
      <c r="C105" s="114"/>
      <c r="D105" s="112"/>
      <c r="E105" s="112"/>
      <c r="F105" s="120"/>
      <c r="G105" s="113"/>
      <c r="H105" s="113"/>
      <c r="I105" s="113"/>
      <c r="J105" s="113"/>
      <c r="K105" s="113"/>
      <c r="L105" s="113"/>
      <c r="M105" s="120"/>
      <c r="N105" s="113"/>
      <c r="O105" s="113"/>
      <c r="P105" s="113"/>
      <c r="Q105" s="113"/>
      <c r="R105" s="113"/>
      <c r="S105" s="113"/>
      <c r="T105" s="120"/>
      <c r="U105" s="113"/>
      <c r="V105" s="113"/>
      <c r="W105" s="113"/>
      <c r="X105" s="113"/>
      <c r="Y105" s="113"/>
      <c r="Z105" s="113"/>
      <c r="AA105" s="120"/>
      <c r="AB105" s="113"/>
      <c r="AC105" s="113"/>
      <c r="AD105" s="113"/>
      <c r="AE105" s="113"/>
      <c r="AF105" s="113"/>
      <c r="AG105" s="113"/>
      <c r="AH105" s="120"/>
      <c r="AI105" s="113"/>
      <c r="AJ105" s="113"/>
      <c r="AK105" s="113"/>
      <c r="AL105" s="113"/>
      <c r="AM105" s="113"/>
      <c r="AN105" s="113"/>
      <c r="AO105" s="120"/>
      <c r="AP105" s="113"/>
      <c r="AQ105" s="113"/>
      <c r="AR105" s="113"/>
      <c r="AS105" s="113"/>
      <c r="AT105" s="113"/>
      <c r="AU105" s="113"/>
      <c r="AV105" s="120"/>
      <c r="AW105" s="113"/>
      <c r="AX105" s="113"/>
      <c r="AY105" s="113"/>
      <c r="AZ105" s="113"/>
      <c r="BA105" s="113"/>
      <c r="BB105" s="113"/>
      <c r="BC105" s="120"/>
      <c r="BD105" s="113"/>
      <c r="BE105" s="113"/>
      <c r="BF105" s="113"/>
      <c r="BG105" s="113"/>
      <c r="BH105" s="113"/>
      <c r="BI105" s="113"/>
      <c r="BJ105" s="120"/>
      <c r="BK105" s="113"/>
      <c r="BL105" s="113"/>
      <c r="BM105" s="113"/>
      <c r="BN105" s="113"/>
      <c r="BO105" s="113"/>
      <c r="BP105" s="113"/>
      <c r="BQ105" s="120"/>
      <c r="BR105" s="113"/>
      <c r="BS105" s="113"/>
      <c r="BT105" s="113"/>
      <c r="BU105" s="113"/>
      <c r="BV105" s="113"/>
      <c r="BW105" s="113"/>
      <c r="BX105" s="120"/>
      <c r="BY105" s="113"/>
      <c r="BZ105" s="113"/>
      <c r="CA105" s="113"/>
      <c r="CB105" s="113"/>
      <c r="CC105" s="113"/>
      <c r="CD105" s="113"/>
      <c r="CE105" s="120"/>
      <c r="CF105" s="113"/>
      <c r="CG105" s="113"/>
      <c r="CH105" s="113"/>
      <c r="CI105" s="113"/>
      <c r="CJ105" s="113"/>
      <c r="CK105" s="113"/>
      <c r="CL105" s="120"/>
      <c r="CM105" s="113"/>
      <c r="CN105" s="113"/>
    </row>
    <row r="106" spans="2:92" ht="18" customHeight="1" x14ac:dyDescent="0.25">
      <c r="B106" s="113"/>
      <c r="C106" s="114"/>
      <c r="D106" s="112"/>
      <c r="E106" s="112"/>
      <c r="F106" s="120"/>
      <c r="G106" s="113"/>
      <c r="H106" s="113"/>
      <c r="I106" s="113"/>
      <c r="J106" s="113"/>
      <c r="K106" s="113"/>
      <c r="L106" s="113"/>
      <c r="M106" s="120"/>
      <c r="N106" s="113"/>
      <c r="O106" s="113"/>
      <c r="P106" s="113"/>
      <c r="Q106" s="113"/>
      <c r="R106" s="113"/>
      <c r="S106" s="113"/>
      <c r="T106" s="120"/>
      <c r="U106" s="113"/>
      <c r="V106" s="113"/>
      <c r="W106" s="113"/>
      <c r="X106" s="113"/>
      <c r="Y106" s="113"/>
      <c r="Z106" s="113"/>
      <c r="AA106" s="120"/>
      <c r="AB106" s="113"/>
      <c r="AC106" s="113"/>
      <c r="AD106" s="113"/>
      <c r="AE106" s="113"/>
      <c r="AF106" s="113"/>
      <c r="AG106" s="113"/>
      <c r="AH106" s="120"/>
      <c r="AI106" s="113"/>
      <c r="AJ106" s="113"/>
      <c r="AK106" s="113"/>
      <c r="AL106" s="113"/>
      <c r="AM106" s="113"/>
      <c r="AN106" s="113"/>
      <c r="AO106" s="120"/>
      <c r="AP106" s="113"/>
      <c r="AQ106" s="113"/>
      <c r="AR106" s="113"/>
      <c r="AS106" s="113"/>
      <c r="AT106" s="113"/>
      <c r="AU106" s="113"/>
      <c r="AV106" s="120"/>
      <c r="AW106" s="113"/>
      <c r="AX106" s="113"/>
      <c r="AY106" s="113"/>
      <c r="AZ106" s="113"/>
      <c r="BA106" s="113"/>
      <c r="BB106" s="113"/>
      <c r="BC106" s="120"/>
      <c r="BD106" s="113"/>
      <c r="BE106" s="113"/>
      <c r="BF106" s="113"/>
      <c r="BG106" s="113"/>
      <c r="BH106" s="113"/>
      <c r="BI106" s="113"/>
      <c r="BJ106" s="120"/>
      <c r="BK106" s="113"/>
      <c r="BL106" s="113"/>
      <c r="BM106" s="113"/>
      <c r="BN106" s="113"/>
      <c r="BO106" s="113"/>
      <c r="BP106" s="113"/>
      <c r="BQ106" s="120"/>
      <c r="BR106" s="113"/>
      <c r="BS106" s="113"/>
      <c r="BT106" s="113"/>
      <c r="BU106" s="113"/>
      <c r="BV106" s="113"/>
      <c r="BW106" s="113"/>
      <c r="BX106" s="120"/>
      <c r="BY106" s="113"/>
      <c r="BZ106" s="113"/>
      <c r="CA106" s="113"/>
      <c r="CB106" s="113"/>
      <c r="CC106" s="113"/>
      <c r="CD106" s="113"/>
      <c r="CE106" s="120"/>
      <c r="CF106" s="113"/>
      <c r="CG106" s="113"/>
      <c r="CH106" s="113"/>
      <c r="CI106" s="113"/>
      <c r="CJ106" s="113"/>
      <c r="CK106" s="113"/>
      <c r="CL106" s="120"/>
      <c r="CM106" s="113"/>
      <c r="CN106" s="113"/>
    </row>
    <row r="107" spans="2:92" ht="18" customHeight="1" x14ac:dyDescent="0.25">
      <c r="B107" s="113"/>
      <c r="C107" s="114"/>
      <c r="D107" s="112"/>
      <c r="E107" s="112"/>
      <c r="F107" s="120"/>
      <c r="G107" s="113"/>
      <c r="H107" s="113"/>
      <c r="I107" s="113"/>
      <c r="J107" s="113"/>
      <c r="K107" s="113"/>
      <c r="L107" s="113"/>
      <c r="M107" s="120"/>
      <c r="N107" s="113"/>
      <c r="O107" s="113"/>
      <c r="P107" s="113"/>
      <c r="Q107" s="113"/>
      <c r="R107" s="113"/>
      <c r="S107" s="113"/>
      <c r="T107" s="120"/>
      <c r="U107" s="113"/>
      <c r="V107" s="113"/>
      <c r="W107" s="113"/>
      <c r="X107" s="113"/>
      <c r="Y107" s="113"/>
      <c r="Z107" s="113"/>
      <c r="AA107" s="120"/>
      <c r="AB107" s="113"/>
      <c r="AC107" s="113"/>
      <c r="AD107" s="113"/>
      <c r="AE107" s="113"/>
      <c r="AF107" s="113"/>
      <c r="AG107" s="113"/>
      <c r="AH107" s="120"/>
      <c r="AI107" s="113"/>
      <c r="AJ107" s="113"/>
      <c r="AK107" s="113"/>
      <c r="AL107" s="113"/>
      <c r="AM107" s="113"/>
      <c r="AN107" s="113"/>
      <c r="AO107" s="120"/>
      <c r="AP107" s="113"/>
      <c r="AQ107" s="113"/>
      <c r="AR107" s="113"/>
      <c r="AS107" s="113"/>
      <c r="AT107" s="113"/>
      <c r="AU107" s="113"/>
      <c r="AV107" s="120"/>
      <c r="AW107" s="113"/>
      <c r="AX107" s="113"/>
      <c r="AY107" s="113"/>
      <c r="AZ107" s="113"/>
      <c r="BA107" s="113"/>
      <c r="BB107" s="113"/>
      <c r="BC107" s="120"/>
      <c r="BD107" s="113"/>
      <c r="BE107" s="113"/>
      <c r="BF107" s="113"/>
      <c r="BG107" s="113"/>
      <c r="BH107" s="113"/>
      <c r="BI107" s="113"/>
      <c r="BJ107" s="120"/>
      <c r="BK107" s="113"/>
      <c r="BL107" s="113"/>
      <c r="BM107" s="113"/>
      <c r="BN107" s="113"/>
      <c r="BO107" s="113"/>
      <c r="BP107" s="113"/>
      <c r="BQ107" s="120"/>
      <c r="BR107" s="113"/>
      <c r="BS107" s="113"/>
      <c r="BT107" s="113"/>
      <c r="BU107" s="113"/>
      <c r="BV107" s="113"/>
      <c r="BW107" s="113"/>
      <c r="BX107" s="120"/>
      <c r="BY107" s="113"/>
      <c r="BZ107" s="113"/>
      <c r="CA107" s="113"/>
      <c r="CB107" s="113"/>
      <c r="CC107" s="113"/>
      <c r="CD107" s="113"/>
      <c r="CE107" s="120"/>
      <c r="CF107" s="113"/>
      <c r="CG107" s="113"/>
      <c r="CH107" s="113"/>
      <c r="CI107" s="113"/>
      <c r="CJ107" s="113"/>
      <c r="CK107" s="113"/>
      <c r="CL107" s="120"/>
      <c r="CM107" s="113"/>
      <c r="CN107" s="113"/>
    </row>
    <row r="108" spans="2:92" ht="18" customHeight="1" x14ac:dyDescent="0.25">
      <c r="B108" s="113"/>
      <c r="C108" s="114"/>
      <c r="D108" s="112"/>
      <c r="E108" s="112"/>
      <c r="F108" s="120"/>
      <c r="G108" s="113"/>
      <c r="H108" s="113"/>
      <c r="I108" s="113"/>
      <c r="J108" s="113"/>
      <c r="K108" s="113"/>
      <c r="L108" s="113"/>
      <c r="M108" s="120"/>
      <c r="N108" s="113"/>
      <c r="O108" s="113"/>
      <c r="P108" s="113"/>
      <c r="Q108" s="113"/>
      <c r="R108" s="113"/>
      <c r="S108" s="113"/>
      <c r="T108" s="120"/>
      <c r="U108" s="113"/>
      <c r="V108" s="113"/>
      <c r="W108" s="113"/>
      <c r="X108" s="113"/>
      <c r="Y108" s="113"/>
      <c r="Z108" s="113"/>
      <c r="AA108" s="120"/>
      <c r="AB108" s="113"/>
      <c r="AC108" s="113"/>
      <c r="AD108" s="113"/>
      <c r="AE108" s="113"/>
      <c r="AF108" s="113"/>
      <c r="AG108" s="113"/>
      <c r="AH108" s="120"/>
      <c r="AI108" s="113"/>
      <c r="AJ108" s="113"/>
      <c r="AK108" s="113"/>
      <c r="AL108" s="113"/>
      <c r="AM108" s="113"/>
      <c r="AN108" s="113"/>
      <c r="AO108" s="120"/>
      <c r="AP108" s="113"/>
      <c r="AQ108" s="113"/>
      <c r="AR108" s="113"/>
      <c r="AS108" s="113"/>
      <c r="AT108" s="113"/>
      <c r="AU108" s="113"/>
      <c r="AV108" s="120"/>
      <c r="AW108" s="113"/>
      <c r="AX108" s="113"/>
      <c r="AY108" s="113"/>
      <c r="AZ108" s="113"/>
      <c r="BA108" s="113"/>
      <c r="BB108" s="113"/>
      <c r="BC108" s="120"/>
      <c r="BD108" s="113"/>
      <c r="BE108" s="113"/>
      <c r="BF108" s="113"/>
      <c r="BG108" s="113"/>
      <c r="BH108" s="113"/>
      <c r="BI108" s="113"/>
      <c r="BJ108" s="120"/>
      <c r="BK108" s="113"/>
      <c r="BL108" s="113"/>
      <c r="BM108" s="113"/>
      <c r="BN108" s="113"/>
      <c r="BO108" s="113"/>
      <c r="BP108" s="113"/>
      <c r="BQ108" s="120"/>
      <c r="BR108" s="113"/>
      <c r="BS108" s="113"/>
      <c r="BT108" s="113"/>
      <c r="BU108" s="113"/>
      <c r="BV108" s="113"/>
      <c r="BW108" s="113"/>
      <c r="BX108" s="120"/>
      <c r="BY108" s="113"/>
      <c r="BZ108" s="113"/>
      <c r="CA108" s="113"/>
      <c r="CB108" s="113"/>
      <c r="CC108" s="113"/>
      <c r="CD108" s="113"/>
      <c r="CE108" s="120"/>
      <c r="CF108" s="113"/>
      <c r="CG108" s="113"/>
      <c r="CH108" s="113"/>
      <c r="CI108" s="113"/>
      <c r="CJ108" s="113"/>
      <c r="CK108" s="113"/>
      <c r="CL108" s="120"/>
      <c r="CM108" s="113"/>
      <c r="CN108" s="113"/>
    </row>
    <row r="109" spans="2:92" ht="18" customHeight="1" x14ac:dyDescent="0.25">
      <c r="B109" s="113"/>
      <c r="C109" s="114"/>
      <c r="D109" s="112"/>
      <c r="E109" s="112"/>
      <c r="F109" s="120"/>
      <c r="G109" s="113"/>
      <c r="H109" s="113"/>
      <c r="I109" s="113"/>
      <c r="J109" s="113"/>
      <c r="K109" s="113"/>
      <c r="L109" s="113"/>
      <c r="M109" s="120"/>
      <c r="N109" s="113"/>
      <c r="O109" s="113"/>
      <c r="P109" s="113"/>
      <c r="Q109" s="113"/>
      <c r="R109" s="113"/>
      <c r="S109" s="113"/>
      <c r="T109" s="120"/>
      <c r="U109" s="113"/>
      <c r="V109" s="113"/>
      <c r="W109" s="113"/>
      <c r="X109" s="113"/>
      <c r="Y109" s="113"/>
      <c r="Z109" s="113"/>
      <c r="AA109" s="120"/>
      <c r="AB109" s="113"/>
      <c r="AC109" s="113"/>
      <c r="AD109" s="113"/>
      <c r="AE109" s="113"/>
      <c r="AF109" s="113"/>
      <c r="AG109" s="113"/>
      <c r="AH109" s="120"/>
      <c r="AI109" s="113"/>
      <c r="AJ109" s="113"/>
      <c r="AK109" s="113"/>
      <c r="AL109" s="113"/>
      <c r="AM109" s="113"/>
      <c r="AN109" s="113"/>
      <c r="AO109" s="120"/>
      <c r="AP109" s="113"/>
      <c r="AQ109" s="113"/>
      <c r="AR109" s="113"/>
      <c r="AS109" s="113"/>
      <c r="AT109" s="113"/>
      <c r="AU109" s="113"/>
      <c r="AV109" s="120"/>
      <c r="AW109" s="113"/>
      <c r="AX109" s="113"/>
      <c r="AY109" s="113"/>
      <c r="AZ109" s="113"/>
      <c r="BA109" s="113"/>
      <c r="BB109" s="113"/>
      <c r="BC109" s="120"/>
      <c r="BD109" s="113"/>
      <c r="BE109" s="113"/>
      <c r="BF109" s="113"/>
      <c r="BG109" s="113"/>
      <c r="BH109" s="113"/>
      <c r="BI109" s="113"/>
      <c r="BJ109" s="120"/>
      <c r="BK109" s="113"/>
      <c r="BL109" s="113"/>
      <c r="BM109" s="113"/>
      <c r="BN109" s="113"/>
      <c r="BO109" s="113"/>
      <c r="BP109" s="113"/>
      <c r="BQ109" s="120"/>
      <c r="BR109" s="113"/>
      <c r="BS109" s="113"/>
      <c r="BT109" s="113"/>
      <c r="BU109" s="113"/>
      <c r="BV109" s="113"/>
      <c r="BW109" s="113"/>
      <c r="BX109" s="120"/>
      <c r="BY109" s="113"/>
      <c r="BZ109" s="113"/>
      <c r="CA109" s="113"/>
      <c r="CB109" s="113"/>
      <c r="CC109" s="113"/>
      <c r="CD109" s="113"/>
      <c r="CE109" s="120"/>
      <c r="CF109" s="113"/>
      <c r="CG109" s="113"/>
      <c r="CH109" s="113"/>
      <c r="CI109" s="113"/>
      <c r="CJ109" s="113"/>
      <c r="CK109" s="113"/>
      <c r="CL109" s="120"/>
      <c r="CM109" s="113"/>
      <c r="CN109" s="113"/>
    </row>
    <row r="110" spans="2:92" ht="18" customHeight="1" x14ac:dyDescent="0.25">
      <c r="B110" s="113"/>
      <c r="C110" s="114"/>
      <c r="D110" s="112"/>
      <c r="E110" s="112"/>
      <c r="F110" s="120"/>
      <c r="G110" s="113"/>
      <c r="H110" s="113"/>
      <c r="I110" s="113"/>
      <c r="J110" s="113"/>
      <c r="K110" s="113"/>
      <c r="L110" s="113"/>
      <c r="M110" s="120"/>
      <c r="N110" s="113"/>
      <c r="O110" s="113"/>
      <c r="P110" s="113"/>
      <c r="Q110" s="113"/>
      <c r="R110" s="113"/>
      <c r="S110" s="113"/>
      <c r="T110" s="120"/>
      <c r="U110" s="113"/>
      <c r="V110" s="113"/>
      <c r="W110" s="113"/>
      <c r="X110" s="113"/>
      <c r="Y110" s="113"/>
      <c r="Z110" s="113"/>
      <c r="AA110" s="120"/>
      <c r="AB110" s="113"/>
      <c r="AC110" s="113"/>
      <c r="AD110" s="113"/>
      <c r="AE110" s="113"/>
      <c r="AF110" s="113"/>
      <c r="AG110" s="113"/>
      <c r="AH110" s="120"/>
      <c r="AI110" s="113"/>
      <c r="AJ110" s="113"/>
      <c r="AK110" s="113"/>
      <c r="AL110" s="113"/>
      <c r="AM110" s="113"/>
      <c r="AN110" s="113"/>
      <c r="AO110" s="120"/>
      <c r="AP110" s="113"/>
      <c r="AQ110" s="113"/>
      <c r="AR110" s="113"/>
      <c r="AS110" s="113"/>
      <c r="AT110" s="113"/>
      <c r="AU110" s="113"/>
      <c r="AV110" s="120"/>
      <c r="AW110" s="113"/>
      <c r="AX110" s="113"/>
      <c r="AY110" s="113"/>
      <c r="AZ110" s="113"/>
      <c r="BA110" s="113"/>
      <c r="BB110" s="113"/>
      <c r="BC110" s="120"/>
      <c r="BD110" s="113"/>
      <c r="BE110" s="113"/>
      <c r="BF110" s="113"/>
      <c r="BG110" s="113"/>
      <c r="BH110" s="113"/>
      <c r="BI110" s="113"/>
      <c r="BJ110" s="120"/>
      <c r="BK110" s="113"/>
      <c r="BL110" s="113"/>
      <c r="BM110" s="113"/>
      <c r="BN110" s="113"/>
      <c r="BO110" s="113"/>
      <c r="BP110" s="113"/>
      <c r="BQ110" s="120"/>
      <c r="BR110" s="113"/>
      <c r="BS110" s="113"/>
      <c r="BT110" s="113"/>
      <c r="BU110" s="113"/>
      <c r="BV110" s="113"/>
      <c r="BW110" s="113"/>
      <c r="BX110" s="120"/>
      <c r="BY110" s="113"/>
      <c r="BZ110" s="113"/>
      <c r="CA110" s="113"/>
      <c r="CB110" s="113"/>
      <c r="CC110" s="113"/>
      <c r="CD110" s="113"/>
      <c r="CE110" s="120"/>
      <c r="CF110" s="113"/>
      <c r="CG110" s="113"/>
      <c r="CH110" s="113"/>
      <c r="CI110" s="113"/>
      <c r="CJ110" s="113"/>
      <c r="CK110" s="113"/>
      <c r="CL110" s="120"/>
      <c r="CM110" s="113"/>
      <c r="CN110" s="113"/>
    </row>
    <row r="111" spans="2:92" ht="18" customHeight="1" x14ac:dyDescent="0.25">
      <c r="B111" s="113"/>
      <c r="C111" s="114"/>
      <c r="D111" s="112"/>
      <c r="E111" s="112"/>
      <c r="F111" s="120"/>
      <c r="G111" s="113"/>
      <c r="H111" s="113"/>
      <c r="I111" s="113"/>
      <c r="J111" s="113"/>
      <c r="K111" s="113"/>
      <c r="L111" s="113"/>
      <c r="M111" s="120"/>
      <c r="N111" s="113"/>
      <c r="O111" s="113"/>
      <c r="P111" s="113"/>
      <c r="Q111" s="113"/>
      <c r="R111" s="113"/>
      <c r="S111" s="113"/>
      <c r="T111" s="120"/>
      <c r="U111" s="113"/>
      <c r="V111" s="113"/>
      <c r="W111" s="113"/>
      <c r="X111" s="113"/>
      <c r="Y111" s="113"/>
      <c r="Z111" s="113"/>
      <c r="AA111" s="120"/>
      <c r="AB111" s="113"/>
      <c r="AC111" s="113"/>
      <c r="AD111" s="113"/>
      <c r="AE111" s="113"/>
      <c r="AF111" s="113"/>
      <c r="AG111" s="113"/>
      <c r="AH111" s="120"/>
      <c r="AI111" s="113"/>
      <c r="AJ111" s="113"/>
      <c r="AK111" s="113"/>
      <c r="AL111" s="113"/>
      <c r="AM111" s="113"/>
      <c r="AN111" s="113"/>
      <c r="AO111" s="120"/>
      <c r="AP111" s="113"/>
      <c r="AQ111" s="113"/>
      <c r="AR111" s="113"/>
      <c r="AS111" s="113"/>
      <c r="AT111" s="113"/>
      <c r="AU111" s="113"/>
      <c r="AV111" s="120"/>
      <c r="AW111" s="113"/>
      <c r="AX111" s="113"/>
      <c r="AY111" s="113"/>
      <c r="AZ111" s="113"/>
      <c r="BA111" s="113"/>
      <c r="BB111" s="113"/>
      <c r="BC111" s="120"/>
      <c r="BD111" s="113"/>
      <c r="BE111" s="113"/>
      <c r="BF111" s="113"/>
      <c r="BG111" s="113"/>
      <c r="BH111" s="113"/>
      <c r="BI111" s="113"/>
      <c r="BJ111" s="120"/>
      <c r="BK111" s="113"/>
      <c r="BL111" s="113"/>
      <c r="BM111" s="113"/>
      <c r="BN111" s="113"/>
      <c r="BO111" s="113"/>
      <c r="BP111" s="113"/>
      <c r="BQ111" s="120"/>
      <c r="BR111" s="113"/>
      <c r="BS111" s="113"/>
      <c r="BT111" s="113"/>
      <c r="BU111" s="113"/>
      <c r="BV111" s="113"/>
      <c r="BW111" s="113"/>
      <c r="BX111" s="120"/>
      <c r="BY111" s="113"/>
      <c r="BZ111" s="113"/>
      <c r="CA111" s="113"/>
      <c r="CB111" s="113"/>
      <c r="CC111" s="113"/>
      <c r="CD111" s="113"/>
      <c r="CE111" s="120"/>
      <c r="CF111" s="113"/>
      <c r="CG111" s="113"/>
      <c r="CH111" s="113"/>
      <c r="CI111" s="113"/>
      <c r="CJ111" s="113"/>
      <c r="CK111" s="113"/>
      <c r="CL111" s="120"/>
      <c r="CM111" s="113"/>
      <c r="CN111" s="113"/>
    </row>
    <row r="112" spans="2:92" ht="18" customHeight="1" x14ac:dyDescent="0.25">
      <c r="B112" s="113"/>
      <c r="C112" s="114"/>
      <c r="D112" s="112"/>
      <c r="E112" s="112"/>
      <c r="F112" s="120"/>
      <c r="G112" s="113"/>
      <c r="H112" s="113"/>
      <c r="I112" s="113"/>
      <c r="J112" s="113"/>
      <c r="K112" s="113"/>
      <c r="L112" s="113"/>
      <c r="M112" s="120"/>
      <c r="N112" s="113"/>
      <c r="O112" s="113"/>
      <c r="P112" s="113"/>
      <c r="Q112" s="113"/>
      <c r="R112" s="113"/>
      <c r="S112" s="113"/>
      <c r="T112" s="120"/>
      <c r="U112" s="113"/>
      <c r="V112" s="113"/>
      <c r="W112" s="113"/>
      <c r="X112" s="113"/>
      <c r="Y112" s="113"/>
      <c r="Z112" s="113"/>
      <c r="AA112" s="120"/>
      <c r="AB112" s="113"/>
      <c r="AC112" s="113"/>
      <c r="AD112" s="113"/>
      <c r="AE112" s="113"/>
      <c r="AF112" s="113"/>
      <c r="AG112" s="113"/>
      <c r="AH112" s="120"/>
      <c r="AI112" s="113"/>
      <c r="AJ112" s="113"/>
      <c r="AK112" s="113"/>
      <c r="AL112" s="113"/>
      <c r="AM112" s="113"/>
      <c r="AN112" s="113"/>
      <c r="AO112" s="120"/>
      <c r="AP112" s="113"/>
      <c r="AQ112" s="113"/>
      <c r="AR112" s="113"/>
      <c r="AS112" s="113"/>
      <c r="AT112" s="113"/>
      <c r="AU112" s="113"/>
      <c r="AV112" s="120"/>
      <c r="AW112" s="113"/>
      <c r="AX112" s="113"/>
      <c r="AY112" s="113"/>
      <c r="AZ112" s="113"/>
      <c r="BA112" s="113"/>
      <c r="BB112" s="113"/>
      <c r="BC112" s="120"/>
      <c r="BD112" s="113"/>
      <c r="BE112" s="113"/>
      <c r="BF112" s="113"/>
      <c r="BG112" s="113"/>
      <c r="BH112" s="113"/>
      <c r="BI112" s="113"/>
      <c r="BJ112" s="120"/>
      <c r="BK112" s="113"/>
      <c r="BL112" s="113"/>
      <c r="BM112" s="113"/>
      <c r="BN112" s="113"/>
      <c r="BO112" s="113"/>
      <c r="BP112" s="113"/>
      <c r="BQ112" s="120"/>
      <c r="BR112" s="113"/>
      <c r="BS112" s="113"/>
      <c r="BT112" s="113"/>
      <c r="BU112" s="113"/>
      <c r="BV112" s="113"/>
      <c r="BW112" s="113"/>
      <c r="BX112" s="120"/>
      <c r="BY112" s="113"/>
      <c r="BZ112" s="113"/>
      <c r="CA112" s="113"/>
      <c r="CB112" s="113"/>
      <c r="CC112" s="113"/>
      <c r="CD112" s="113"/>
      <c r="CE112" s="120"/>
      <c r="CF112" s="113"/>
      <c r="CG112" s="113"/>
      <c r="CH112" s="113"/>
      <c r="CI112" s="113"/>
      <c r="CJ112" s="113"/>
      <c r="CK112" s="113"/>
      <c r="CL112" s="120"/>
      <c r="CM112" s="113"/>
      <c r="CN112" s="113"/>
    </row>
    <row r="113" spans="2:92" ht="18" customHeight="1" x14ac:dyDescent="0.25">
      <c r="B113" s="113"/>
      <c r="C113" s="114"/>
      <c r="D113" s="112"/>
      <c r="E113" s="112"/>
      <c r="F113" s="120"/>
      <c r="G113" s="113"/>
      <c r="H113" s="113"/>
      <c r="I113" s="113"/>
      <c r="J113" s="113"/>
      <c r="K113" s="113"/>
      <c r="L113" s="113"/>
      <c r="M113" s="120"/>
      <c r="N113" s="113"/>
      <c r="O113" s="113"/>
      <c r="P113" s="113"/>
      <c r="Q113" s="113"/>
      <c r="R113" s="113"/>
      <c r="S113" s="113"/>
      <c r="T113" s="120"/>
      <c r="U113" s="113"/>
      <c r="V113" s="113"/>
      <c r="W113" s="113"/>
      <c r="X113" s="113"/>
      <c r="Y113" s="113"/>
      <c r="Z113" s="113"/>
      <c r="AA113" s="120"/>
      <c r="AB113" s="113"/>
      <c r="AC113" s="113"/>
      <c r="AD113" s="113"/>
      <c r="AE113" s="113"/>
      <c r="AF113" s="113"/>
      <c r="AG113" s="113"/>
      <c r="AH113" s="120"/>
      <c r="AI113" s="113"/>
      <c r="AJ113" s="113"/>
      <c r="AK113" s="113"/>
      <c r="AL113" s="113"/>
      <c r="AM113" s="113"/>
      <c r="AN113" s="113"/>
      <c r="AO113" s="120"/>
      <c r="AP113" s="113"/>
      <c r="AQ113" s="113"/>
      <c r="AR113" s="113"/>
      <c r="AS113" s="113"/>
      <c r="AT113" s="113"/>
      <c r="AU113" s="113"/>
      <c r="AV113" s="120"/>
      <c r="AW113" s="113"/>
      <c r="AX113" s="113"/>
      <c r="AY113" s="113"/>
      <c r="AZ113" s="113"/>
      <c r="BA113" s="113"/>
      <c r="BB113" s="113"/>
      <c r="BC113" s="120"/>
      <c r="BD113" s="113"/>
      <c r="BE113" s="113"/>
      <c r="BF113" s="113"/>
      <c r="BG113" s="113"/>
      <c r="BH113" s="113"/>
      <c r="BI113" s="113"/>
      <c r="BJ113" s="120"/>
      <c r="BK113" s="113"/>
      <c r="BL113" s="113"/>
      <c r="BM113" s="113"/>
      <c r="BN113" s="113"/>
      <c r="BO113" s="113"/>
      <c r="BP113" s="113"/>
      <c r="BQ113" s="120"/>
      <c r="BR113" s="113"/>
      <c r="BS113" s="113"/>
      <c r="BT113" s="113"/>
      <c r="BU113" s="113"/>
      <c r="BV113" s="113"/>
      <c r="BW113" s="113"/>
      <c r="BX113" s="120"/>
      <c r="BY113" s="113"/>
      <c r="BZ113" s="113"/>
      <c r="CA113" s="113"/>
      <c r="CB113" s="113"/>
      <c r="CC113" s="113"/>
      <c r="CD113" s="113"/>
      <c r="CE113" s="120"/>
      <c r="CF113" s="113"/>
      <c r="CG113" s="113"/>
      <c r="CH113" s="113"/>
      <c r="CI113" s="113"/>
      <c r="CJ113" s="113"/>
      <c r="CK113" s="113"/>
      <c r="CL113" s="120"/>
      <c r="CM113" s="113"/>
      <c r="CN113" s="113"/>
    </row>
    <row r="114" spans="2:92" ht="18" customHeight="1" x14ac:dyDescent="0.25">
      <c r="B114" s="113"/>
      <c r="C114" s="114"/>
      <c r="D114" s="112"/>
      <c r="E114" s="112"/>
      <c r="F114" s="120"/>
      <c r="G114" s="113"/>
      <c r="H114" s="113"/>
      <c r="I114" s="113"/>
      <c r="J114" s="113"/>
      <c r="K114" s="113"/>
      <c r="L114" s="113"/>
      <c r="M114" s="120"/>
      <c r="N114" s="113"/>
      <c r="O114" s="113"/>
      <c r="P114" s="113"/>
      <c r="Q114" s="113"/>
      <c r="R114" s="113"/>
      <c r="S114" s="113"/>
      <c r="T114" s="120"/>
      <c r="U114" s="113"/>
      <c r="V114" s="113"/>
      <c r="W114" s="113"/>
      <c r="X114" s="113"/>
      <c r="Y114" s="113"/>
      <c r="Z114" s="113"/>
      <c r="AA114" s="120"/>
      <c r="AB114" s="113"/>
      <c r="AC114" s="113"/>
      <c r="AD114" s="113"/>
      <c r="AE114" s="113"/>
      <c r="AF114" s="113"/>
      <c r="AG114" s="113"/>
      <c r="AH114" s="120"/>
      <c r="AI114" s="113"/>
      <c r="AJ114" s="113"/>
      <c r="AK114" s="113"/>
      <c r="AL114" s="113"/>
      <c r="AM114" s="113"/>
      <c r="AN114" s="113"/>
      <c r="AO114" s="120"/>
      <c r="AP114" s="113"/>
      <c r="AQ114" s="113"/>
      <c r="AR114" s="113"/>
      <c r="AS114" s="113"/>
      <c r="AT114" s="113"/>
      <c r="AU114" s="113"/>
      <c r="AV114" s="120"/>
      <c r="AW114" s="113"/>
      <c r="AX114" s="113"/>
      <c r="AY114" s="113"/>
      <c r="AZ114" s="113"/>
      <c r="BA114" s="113"/>
      <c r="BB114" s="113"/>
      <c r="BC114" s="120"/>
      <c r="BD114" s="113"/>
      <c r="BE114" s="113"/>
      <c r="BF114" s="113"/>
      <c r="BG114" s="113"/>
      <c r="BH114" s="113"/>
      <c r="BI114" s="113"/>
      <c r="BJ114" s="120"/>
      <c r="BK114" s="113"/>
      <c r="BL114" s="113"/>
      <c r="BM114" s="113"/>
      <c r="BN114" s="113"/>
      <c r="BO114" s="113"/>
      <c r="BP114" s="113"/>
      <c r="BQ114" s="120"/>
      <c r="BR114" s="113"/>
      <c r="BS114" s="113"/>
      <c r="BT114" s="113"/>
      <c r="BU114" s="113"/>
      <c r="BV114" s="113"/>
      <c r="BW114" s="113"/>
      <c r="BX114" s="120"/>
      <c r="BY114" s="113"/>
      <c r="BZ114" s="113"/>
      <c r="CA114" s="113"/>
      <c r="CB114" s="113"/>
      <c r="CC114" s="113"/>
      <c r="CD114" s="113"/>
      <c r="CE114" s="120"/>
      <c r="CF114" s="113"/>
      <c r="CG114" s="113"/>
      <c r="CH114" s="113"/>
      <c r="CI114" s="113"/>
      <c r="CJ114" s="113"/>
      <c r="CK114" s="113"/>
      <c r="CL114" s="120"/>
      <c r="CM114" s="113"/>
      <c r="CN114" s="113"/>
    </row>
    <row r="115" spans="2:92" ht="18" customHeight="1" x14ac:dyDescent="0.25">
      <c r="B115" s="113"/>
      <c r="C115" s="114"/>
      <c r="D115" s="112"/>
      <c r="E115" s="112"/>
      <c r="F115" s="120"/>
      <c r="G115" s="113"/>
      <c r="H115" s="113"/>
      <c r="I115" s="113"/>
      <c r="J115" s="113"/>
      <c r="K115" s="113"/>
      <c r="L115" s="113"/>
      <c r="M115" s="120"/>
      <c r="N115" s="113"/>
      <c r="O115" s="113"/>
      <c r="P115" s="113"/>
      <c r="Q115" s="113"/>
      <c r="R115" s="113"/>
      <c r="S115" s="113"/>
      <c r="T115" s="120"/>
      <c r="U115" s="113"/>
      <c r="V115" s="113"/>
      <c r="W115" s="113"/>
      <c r="X115" s="113"/>
      <c r="Y115" s="113"/>
      <c r="Z115" s="113"/>
      <c r="AA115" s="120"/>
      <c r="AB115" s="113"/>
      <c r="AC115" s="113"/>
      <c r="AD115" s="113"/>
      <c r="AE115" s="113"/>
      <c r="AF115" s="113"/>
      <c r="AG115" s="113"/>
      <c r="AH115" s="120"/>
      <c r="AI115" s="113"/>
      <c r="AJ115" s="113"/>
      <c r="AK115" s="113"/>
      <c r="AL115" s="113"/>
      <c r="AM115" s="113"/>
      <c r="AN115" s="113"/>
      <c r="AO115" s="120"/>
      <c r="AP115" s="113"/>
      <c r="AQ115" s="113"/>
      <c r="AR115" s="113"/>
      <c r="AS115" s="113"/>
      <c r="AT115" s="113"/>
      <c r="AU115" s="113"/>
      <c r="AV115" s="120"/>
      <c r="AW115" s="113"/>
      <c r="AX115" s="113"/>
      <c r="AY115" s="113"/>
      <c r="AZ115" s="113"/>
      <c r="BA115" s="113"/>
      <c r="BB115" s="113"/>
      <c r="BC115" s="120"/>
      <c r="BD115" s="113"/>
      <c r="BE115" s="113"/>
      <c r="BF115" s="113"/>
      <c r="BG115" s="113"/>
      <c r="BH115" s="113"/>
      <c r="BI115" s="113"/>
      <c r="BJ115" s="120"/>
      <c r="BK115" s="113"/>
      <c r="BL115" s="113"/>
      <c r="BM115" s="113"/>
      <c r="BN115" s="113"/>
      <c r="BO115" s="113"/>
      <c r="BP115" s="113"/>
      <c r="BQ115" s="120"/>
      <c r="BR115" s="113"/>
      <c r="BS115" s="113"/>
      <c r="BT115" s="113"/>
      <c r="BU115" s="113"/>
      <c r="BV115" s="113"/>
      <c r="BW115" s="113"/>
      <c r="BX115" s="120"/>
      <c r="BY115" s="113"/>
      <c r="BZ115" s="113"/>
      <c r="CA115" s="113"/>
      <c r="CB115" s="113"/>
      <c r="CC115" s="113"/>
      <c r="CD115" s="113"/>
      <c r="CE115" s="120"/>
      <c r="CF115" s="113"/>
      <c r="CG115" s="113"/>
      <c r="CH115" s="113"/>
      <c r="CI115" s="113"/>
      <c r="CJ115" s="113"/>
      <c r="CK115" s="113"/>
      <c r="CL115" s="120"/>
      <c r="CM115" s="113"/>
      <c r="CN115" s="113"/>
    </row>
    <row r="116" spans="2:92" ht="18" customHeight="1" x14ac:dyDescent="0.25">
      <c r="B116" s="113"/>
      <c r="C116" s="114"/>
      <c r="D116" s="112"/>
      <c r="E116" s="112"/>
      <c r="F116" s="120"/>
      <c r="G116" s="113"/>
      <c r="H116" s="113"/>
      <c r="I116" s="113"/>
      <c r="J116" s="113"/>
      <c r="K116" s="113"/>
      <c r="L116" s="113"/>
      <c r="M116" s="120"/>
      <c r="N116" s="113"/>
      <c r="O116" s="113"/>
      <c r="P116" s="113"/>
      <c r="Q116" s="113"/>
      <c r="R116" s="113"/>
      <c r="S116" s="113"/>
      <c r="T116" s="120"/>
      <c r="U116" s="113"/>
      <c r="V116" s="113"/>
      <c r="W116" s="113"/>
      <c r="X116" s="113"/>
      <c r="Y116" s="113"/>
      <c r="Z116" s="113"/>
      <c r="AA116" s="120"/>
      <c r="AB116" s="113"/>
      <c r="AC116" s="113"/>
      <c r="AD116" s="113"/>
      <c r="AE116" s="113"/>
      <c r="AF116" s="113"/>
      <c r="AG116" s="113"/>
      <c r="AH116" s="120"/>
      <c r="AI116" s="113"/>
      <c r="AJ116" s="113"/>
      <c r="AK116" s="113"/>
      <c r="AL116" s="113"/>
      <c r="AM116" s="113"/>
      <c r="AN116" s="113"/>
      <c r="AO116" s="120"/>
      <c r="AP116" s="113"/>
      <c r="AQ116" s="113"/>
      <c r="AR116" s="113"/>
      <c r="AS116" s="113"/>
      <c r="AT116" s="113"/>
      <c r="AU116" s="113"/>
      <c r="AV116" s="120"/>
      <c r="AW116" s="113"/>
      <c r="AX116" s="113"/>
      <c r="AY116" s="113"/>
      <c r="AZ116" s="113"/>
      <c r="BA116" s="113"/>
      <c r="BB116" s="113"/>
      <c r="BC116" s="120"/>
      <c r="BD116" s="113"/>
      <c r="BE116" s="113"/>
      <c r="BF116" s="113"/>
      <c r="BG116" s="113"/>
      <c r="BH116" s="113"/>
      <c r="BI116" s="113"/>
      <c r="BJ116" s="120"/>
      <c r="BK116" s="113"/>
      <c r="BL116" s="113"/>
      <c r="BM116" s="113"/>
      <c r="BN116" s="113"/>
      <c r="BO116" s="113"/>
      <c r="BP116" s="113"/>
      <c r="BQ116" s="120"/>
      <c r="BR116" s="113"/>
      <c r="BS116" s="113"/>
      <c r="BT116" s="113"/>
      <c r="BU116" s="113"/>
      <c r="BV116" s="113"/>
      <c r="BW116" s="113"/>
      <c r="BX116" s="120"/>
      <c r="BY116" s="113"/>
      <c r="BZ116" s="113"/>
      <c r="CA116" s="113"/>
      <c r="CB116" s="113"/>
      <c r="CC116" s="113"/>
      <c r="CD116" s="113"/>
      <c r="CE116" s="120"/>
      <c r="CF116" s="113"/>
      <c r="CG116" s="113"/>
      <c r="CH116" s="113"/>
      <c r="CI116" s="113"/>
      <c r="CJ116" s="113"/>
      <c r="CK116" s="113"/>
      <c r="CL116" s="120"/>
      <c r="CM116" s="113"/>
      <c r="CN116" s="113"/>
    </row>
  </sheetData>
  <mergeCells count="34">
    <mergeCell ref="A1:CN1"/>
    <mergeCell ref="AE3:AK3"/>
    <mergeCell ref="AL3:AR3"/>
    <mergeCell ref="CB3:CH3"/>
    <mergeCell ref="C3:I3"/>
    <mergeCell ref="J3:P3"/>
    <mergeCell ref="Q3:W3"/>
    <mergeCell ref="X3:AD3"/>
    <mergeCell ref="CI3:CN3"/>
    <mergeCell ref="AS3:AY3"/>
    <mergeCell ref="AZ3:BF3"/>
    <mergeCell ref="BG3:BM3"/>
    <mergeCell ref="BN3:BT3"/>
    <mergeCell ref="BU3:CA3"/>
    <mergeCell ref="AH2:BL2"/>
    <mergeCell ref="C2:AG2"/>
    <mergeCell ref="B2:B5"/>
    <mergeCell ref="A2:A5"/>
    <mergeCell ref="BM2:CN2"/>
    <mergeCell ref="A44:CN44"/>
    <mergeCell ref="BG46:BK46"/>
    <mergeCell ref="AZ46:BF46"/>
    <mergeCell ref="A62:B62"/>
    <mergeCell ref="X46:AD46"/>
    <mergeCell ref="AE46:AK46"/>
    <mergeCell ref="AL46:AR46"/>
    <mergeCell ref="AS46:AY46"/>
    <mergeCell ref="A45:A48"/>
    <mergeCell ref="B45:B48"/>
    <mergeCell ref="C46:I46"/>
    <mergeCell ref="J46:P46"/>
    <mergeCell ref="Q46:W46"/>
    <mergeCell ref="C45:AG45"/>
    <mergeCell ref="AH45:BK45"/>
  </mergeCells>
  <pageMargins left="0.25" right="0.25" top="0.75" bottom="0.75" header="0.3" footer="0.3"/>
  <pageSetup scale="38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CN116"/>
  <sheetViews>
    <sheetView view="pageBreakPreview" zoomScale="78" zoomScaleNormal="55" zoomScaleSheetLayoutView="78" workbookViewId="0">
      <pane xSplit="2" ySplit="4" topLeftCell="C11" activePane="bottomRight" state="frozen"/>
      <selection pane="topRight" activeCell="C1" sqref="C1"/>
      <selection pane="bottomLeft" activeCell="A5" sqref="A5"/>
      <selection pane="bottomRight" activeCell="R15" sqref="R15"/>
    </sheetView>
  </sheetViews>
  <sheetFormatPr baseColWidth="10" defaultColWidth="14.42578125" defaultRowHeight="15" customHeight="1" x14ac:dyDescent="0.25"/>
  <cols>
    <col min="1" max="1" width="7.7109375" style="111" customWidth="1"/>
    <col min="2" max="2" width="33.7109375" style="111" customWidth="1"/>
    <col min="3" max="5" width="2.5703125" style="111" customWidth="1"/>
    <col min="6" max="6" width="2.5703125" style="121" customWidth="1"/>
    <col min="7" max="11" width="2.5703125" style="111" customWidth="1"/>
    <col min="12" max="12" width="3.7109375" style="111" customWidth="1"/>
    <col min="13" max="13" width="3.7109375" style="121" customWidth="1"/>
    <col min="14" max="19" width="3.7109375" style="111" customWidth="1"/>
    <col min="20" max="20" width="3.7109375" style="121" customWidth="1"/>
    <col min="21" max="26" width="3.7109375" style="111" customWidth="1"/>
    <col min="27" max="27" width="3.7109375" style="121" customWidth="1"/>
    <col min="28" max="33" width="3.7109375" style="111" customWidth="1"/>
    <col min="34" max="34" width="3.7109375" style="121" customWidth="1"/>
    <col min="35" max="40" width="3.7109375" style="111" customWidth="1"/>
    <col min="41" max="41" width="3.7109375" style="121" customWidth="1"/>
    <col min="42" max="47" width="3.7109375" style="111" customWidth="1"/>
    <col min="48" max="48" width="3.7109375" style="121" customWidth="1"/>
    <col min="49" max="54" width="3.7109375" style="111" customWidth="1"/>
    <col min="55" max="55" width="3.7109375" style="121" customWidth="1"/>
    <col min="56" max="61" width="3.7109375" style="111" customWidth="1"/>
    <col min="62" max="62" width="3.7109375" style="121" customWidth="1"/>
    <col min="63" max="68" width="3.7109375" style="111" customWidth="1"/>
    <col min="69" max="69" width="3.7109375" style="121" customWidth="1"/>
    <col min="70" max="71" width="3.7109375" style="111" customWidth="1"/>
    <col min="72" max="73" width="2.5703125" style="111" customWidth="1"/>
    <col min="74" max="75" width="3.7109375" style="111" customWidth="1"/>
    <col min="76" max="76" width="3.7109375" style="121" customWidth="1"/>
    <col min="77" max="82" width="3.7109375" style="111" customWidth="1"/>
    <col min="83" max="83" width="3.7109375" style="121" customWidth="1"/>
    <col min="84" max="89" width="3.7109375" style="111" customWidth="1"/>
    <col min="90" max="90" width="3.7109375" style="121" customWidth="1"/>
    <col min="91" max="92" width="3.7109375" style="111" customWidth="1"/>
    <col min="93" max="16384" width="14.42578125" style="111"/>
  </cols>
  <sheetData>
    <row r="1" spans="1:92" ht="15" customHeight="1" x14ac:dyDescent="0.25">
      <c r="A1" s="231" t="s">
        <v>322</v>
      </c>
      <c r="B1" s="231"/>
      <c r="C1" s="231"/>
      <c r="D1" s="231"/>
      <c r="E1" s="231"/>
      <c r="F1" s="231"/>
      <c r="G1" s="231"/>
      <c r="H1" s="231"/>
      <c r="I1" s="231"/>
      <c r="J1" s="231"/>
      <c r="K1" s="231"/>
      <c r="L1" s="231"/>
      <c r="M1" s="231"/>
      <c r="N1" s="231"/>
      <c r="O1" s="231"/>
      <c r="P1" s="231"/>
      <c r="Q1" s="231"/>
      <c r="R1" s="231"/>
      <c r="S1" s="231"/>
      <c r="T1" s="231"/>
      <c r="U1" s="231"/>
      <c r="V1" s="231"/>
      <c r="W1" s="231"/>
      <c r="X1" s="231"/>
      <c r="Y1" s="231"/>
      <c r="Z1" s="231"/>
      <c r="AA1" s="231"/>
      <c r="AB1" s="231"/>
      <c r="AC1" s="231"/>
      <c r="AD1" s="231"/>
      <c r="AE1" s="231"/>
      <c r="AF1" s="231"/>
      <c r="AG1" s="231"/>
      <c r="AH1" s="231"/>
      <c r="AI1" s="231"/>
      <c r="AJ1" s="231"/>
      <c r="AK1" s="231"/>
      <c r="AL1" s="231"/>
      <c r="AM1" s="231"/>
      <c r="AN1" s="231"/>
      <c r="AO1" s="231"/>
      <c r="AP1" s="231"/>
      <c r="AQ1" s="231"/>
      <c r="AR1" s="231"/>
      <c r="AS1" s="231"/>
      <c r="AT1" s="231"/>
      <c r="AU1" s="231"/>
      <c r="AV1" s="231"/>
      <c r="AW1" s="231"/>
      <c r="AX1" s="231"/>
      <c r="AY1" s="231"/>
      <c r="AZ1" s="231"/>
      <c r="BA1" s="231"/>
      <c r="BB1" s="231"/>
      <c r="BC1" s="231"/>
      <c r="BD1" s="231"/>
      <c r="BE1" s="231"/>
      <c r="BF1" s="231"/>
      <c r="BG1" s="231"/>
      <c r="BH1" s="231"/>
      <c r="BI1" s="231"/>
      <c r="BJ1" s="231"/>
      <c r="BK1" s="231"/>
      <c r="BL1" s="231"/>
      <c r="BM1" s="231"/>
      <c r="BN1" s="231"/>
      <c r="BO1" s="231"/>
      <c r="BP1" s="231"/>
      <c r="BQ1" s="231"/>
      <c r="BR1" s="231"/>
      <c r="BS1" s="231"/>
      <c r="BT1" s="231"/>
      <c r="BU1" s="231"/>
      <c r="BV1" s="231"/>
      <c r="BW1" s="231"/>
      <c r="BX1" s="231"/>
      <c r="BY1" s="231"/>
      <c r="BZ1" s="231"/>
      <c r="CA1" s="231"/>
      <c r="CB1" s="231"/>
      <c r="CC1" s="231"/>
      <c r="CD1" s="231"/>
      <c r="CE1" s="231"/>
      <c r="CF1" s="231"/>
      <c r="CG1" s="231"/>
      <c r="CH1" s="231"/>
      <c r="CI1" s="231"/>
      <c r="CJ1" s="231"/>
      <c r="CK1" s="231"/>
      <c r="CL1" s="231"/>
      <c r="CM1" s="231"/>
      <c r="CN1" s="231"/>
    </row>
    <row r="2" spans="1:92" ht="18" customHeight="1" x14ac:dyDescent="0.25">
      <c r="A2" s="191" t="s">
        <v>269</v>
      </c>
      <c r="B2" s="191" t="s">
        <v>312</v>
      </c>
      <c r="C2" s="224" t="s">
        <v>315</v>
      </c>
      <c r="D2" s="224"/>
      <c r="E2" s="224"/>
      <c r="F2" s="224"/>
      <c r="G2" s="224"/>
      <c r="H2" s="224"/>
      <c r="I2" s="224"/>
      <c r="J2" s="224"/>
      <c r="K2" s="224"/>
      <c r="L2" s="224"/>
      <c r="M2" s="224"/>
      <c r="N2" s="224"/>
      <c r="O2" s="224"/>
      <c r="P2" s="224"/>
      <c r="Q2" s="224"/>
      <c r="R2" s="224"/>
      <c r="S2" s="224"/>
      <c r="T2" s="224"/>
      <c r="U2" s="224"/>
      <c r="V2" s="224"/>
      <c r="W2" s="224"/>
      <c r="X2" s="224"/>
      <c r="Y2" s="224"/>
      <c r="Z2" s="224"/>
      <c r="AA2" s="224"/>
      <c r="AB2" s="224"/>
      <c r="AC2" s="224"/>
      <c r="AD2" s="224"/>
      <c r="AE2" s="224"/>
      <c r="AF2" s="224"/>
      <c r="AG2" s="224"/>
      <c r="AH2" s="224" t="s">
        <v>316</v>
      </c>
      <c r="AI2" s="224"/>
      <c r="AJ2" s="224"/>
      <c r="AK2" s="224"/>
      <c r="AL2" s="224"/>
      <c r="AM2" s="224"/>
      <c r="AN2" s="224"/>
      <c r="AO2" s="224"/>
      <c r="AP2" s="224"/>
      <c r="AQ2" s="224"/>
      <c r="AR2" s="224"/>
      <c r="AS2" s="224"/>
      <c r="AT2" s="224"/>
      <c r="AU2" s="224"/>
      <c r="AV2" s="224"/>
      <c r="AW2" s="224"/>
      <c r="AX2" s="224"/>
      <c r="AY2" s="224"/>
      <c r="AZ2" s="224"/>
      <c r="BA2" s="224"/>
      <c r="BB2" s="224"/>
      <c r="BC2" s="224"/>
      <c r="BD2" s="224"/>
      <c r="BE2" s="224"/>
      <c r="BF2" s="224"/>
      <c r="BG2" s="224"/>
      <c r="BH2" s="224"/>
      <c r="BI2" s="224"/>
      <c r="BJ2" s="224"/>
      <c r="BK2" s="224"/>
      <c r="BL2" s="224"/>
      <c r="BM2" s="225" t="s">
        <v>317</v>
      </c>
      <c r="BN2" s="225"/>
      <c r="BO2" s="225"/>
      <c r="BP2" s="225"/>
      <c r="BQ2" s="225"/>
      <c r="BR2" s="225"/>
      <c r="BS2" s="225"/>
      <c r="BT2" s="225"/>
      <c r="BU2" s="225"/>
      <c r="BV2" s="225"/>
      <c r="BW2" s="225"/>
      <c r="BX2" s="225"/>
      <c r="BY2" s="225"/>
      <c r="BZ2" s="225"/>
      <c r="CA2" s="225"/>
      <c r="CB2" s="225"/>
      <c r="CC2" s="225"/>
      <c r="CD2" s="225"/>
      <c r="CE2" s="225"/>
      <c r="CF2" s="225"/>
      <c r="CG2" s="225"/>
      <c r="CH2" s="225"/>
      <c r="CI2" s="225"/>
      <c r="CJ2" s="225"/>
      <c r="CK2" s="225"/>
      <c r="CL2" s="225"/>
      <c r="CM2" s="225"/>
      <c r="CN2" s="225"/>
    </row>
    <row r="3" spans="1:92" ht="18" customHeight="1" thickBot="1" x14ac:dyDescent="0.3">
      <c r="A3" s="191"/>
      <c r="B3" s="191"/>
      <c r="C3" s="224" t="s">
        <v>143</v>
      </c>
      <c r="D3" s="232"/>
      <c r="E3" s="232"/>
      <c r="F3" s="232"/>
      <c r="G3" s="232"/>
      <c r="H3" s="232"/>
      <c r="I3" s="232"/>
      <c r="J3" s="224" t="s">
        <v>144</v>
      </c>
      <c r="K3" s="232"/>
      <c r="L3" s="232"/>
      <c r="M3" s="232"/>
      <c r="N3" s="232"/>
      <c r="O3" s="232"/>
      <c r="P3" s="232"/>
      <c r="Q3" s="224" t="s">
        <v>145</v>
      </c>
      <c r="R3" s="232"/>
      <c r="S3" s="232"/>
      <c r="T3" s="232"/>
      <c r="U3" s="232"/>
      <c r="V3" s="232"/>
      <c r="W3" s="232"/>
      <c r="X3" s="224" t="s">
        <v>146</v>
      </c>
      <c r="Y3" s="232"/>
      <c r="Z3" s="232"/>
      <c r="AA3" s="232"/>
      <c r="AB3" s="232"/>
      <c r="AC3" s="232"/>
      <c r="AD3" s="232"/>
      <c r="AE3" s="224" t="s">
        <v>147</v>
      </c>
      <c r="AF3" s="232"/>
      <c r="AG3" s="232"/>
      <c r="AH3" s="232"/>
      <c r="AI3" s="232"/>
      <c r="AJ3" s="232"/>
      <c r="AK3" s="232"/>
      <c r="AL3" s="224" t="s">
        <v>148</v>
      </c>
      <c r="AM3" s="232"/>
      <c r="AN3" s="232"/>
      <c r="AO3" s="232"/>
      <c r="AP3" s="232"/>
      <c r="AQ3" s="232"/>
      <c r="AR3" s="232"/>
      <c r="AS3" s="224" t="s">
        <v>149</v>
      </c>
      <c r="AT3" s="232"/>
      <c r="AU3" s="232"/>
      <c r="AV3" s="232"/>
      <c r="AW3" s="232"/>
      <c r="AX3" s="232"/>
      <c r="AY3" s="232"/>
      <c r="AZ3" s="224" t="s">
        <v>150</v>
      </c>
      <c r="BA3" s="232"/>
      <c r="BB3" s="232"/>
      <c r="BC3" s="232"/>
      <c r="BD3" s="232"/>
      <c r="BE3" s="232"/>
      <c r="BF3" s="232"/>
      <c r="BG3" s="224" t="s">
        <v>151</v>
      </c>
      <c r="BH3" s="232"/>
      <c r="BI3" s="232"/>
      <c r="BJ3" s="233"/>
      <c r="BK3" s="232"/>
      <c r="BL3" s="232"/>
      <c r="BM3" s="232"/>
      <c r="BN3" s="224" t="s">
        <v>152</v>
      </c>
      <c r="BO3" s="232"/>
      <c r="BP3" s="232"/>
      <c r="BQ3" s="232"/>
      <c r="BR3" s="232"/>
      <c r="BS3" s="232"/>
      <c r="BT3" s="232"/>
      <c r="BU3" s="224" t="s">
        <v>153</v>
      </c>
      <c r="BV3" s="232"/>
      <c r="BW3" s="232"/>
      <c r="BX3" s="232"/>
      <c r="BY3" s="232"/>
      <c r="BZ3" s="232"/>
      <c r="CA3" s="232"/>
      <c r="CB3" s="224" t="s">
        <v>154</v>
      </c>
      <c r="CC3" s="232"/>
      <c r="CD3" s="232"/>
      <c r="CE3" s="232"/>
      <c r="CF3" s="232"/>
      <c r="CG3" s="232"/>
      <c r="CH3" s="232"/>
      <c r="CI3" s="224" t="s">
        <v>155</v>
      </c>
      <c r="CJ3" s="232"/>
      <c r="CK3" s="232"/>
      <c r="CL3" s="232"/>
      <c r="CM3" s="232"/>
      <c r="CN3" s="233"/>
    </row>
    <row r="4" spans="1:92" s="121" customFormat="1" ht="18" customHeight="1" thickBot="1" x14ac:dyDescent="0.3">
      <c r="A4" s="191"/>
      <c r="B4" s="191"/>
      <c r="C4" s="123">
        <v>1</v>
      </c>
      <c r="D4" s="123">
        <v>2</v>
      </c>
      <c r="E4" s="123">
        <v>3</v>
      </c>
      <c r="F4" s="123">
        <v>4</v>
      </c>
      <c r="G4" s="123">
        <v>5</v>
      </c>
      <c r="H4" s="123">
        <v>6</v>
      </c>
      <c r="I4" s="123">
        <v>7</v>
      </c>
      <c r="J4" s="123">
        <v>8</v>
      </c>
      <c r="K4" s="123">
        <v>9</v>
      </c>
      <c r="L4" s="123">
        <v>10</v>
      </c>
      <c r="M4" s="123">
        <v>11</v>
      </c>
      <c r="N4" s="123">
        <v>12</v>
      </c>
      <c r="O4" s="123">
        <v>13</v>
      </c>
      <c r="P4" s="123">
        <v>14</v>
      </c>
      <c r="Q4" s="123">
        <v>15</v>
      </c>
      <c r="R4" s="123">
        <v>16</v>
      </c>
      <c r="S4" s="123">
        <v>17</v>
      </c>
      <c r="T4" s="123">
        <v>18</v>
      </c>
      <c r="U4" s="123">
        <v>19</v>
      </c>
      <c r="V4" s="123">
        <v>20</v>
      </c>
      <c r="W4" s="123">
        <v>21</v>
      </c>
      <c r="X4" s="123">
        <v>22</v>
      </c>
      <c r="Y4" s="123">
        <v>23</v>
      </c>
      <c r="Z4" s="123">
        <v>24</v>
      </c>
      <c r="AA4" s="123">
        <v>25</v>
      </c>
      <c r="AB4" s="123">
        <v>26</v>
      </c>
      <c r="AC4" s="123">
        <v>27</v>
      </c>
      <c r="AD4" s="123">
        <v>28</v>
      </c>
      <c r="AE4" s="123">
        <v>29</v>
      </c>
      <c r="AF4" s="123">
        <v>30</v>
      </c>
      <c r="AG4" s="123">
        <v>31</v>
      </c>
      <c r="AH4" s="123">
        <v>1</v>
      </c>
      <c r="AI4" s="123">
        <v>2</v>
      </c>
      <c r="AJ4" s="123">
        <v>3</v>
      </c>
      <c r="AK4" s="123">
        <v>4</v>
      </c>
      <c r="AL4" s="123">
        <v>5</v>
      </c>
      <c r="AM4" s="123">
        <v>6</v>
      </c>
      <c r="AN4" s="123">
        <v>7</v>
      </c>
      <c r="AO4" s="123">
        <v>8</v>
      </c>
      <c r="AP4" s="123">
        <v>9</v>
      </c>
      <c r="AQ4" s="123">
        <v>10</v>
      </c>
      <c r="AR4" s="123">
        <v>11</v>
      </c>
      <c r="AS4" s="123">
        <v>12</v>
      </c>
      <c r="AT4" s="123">
        <v>13</v>
      </c>
      <c r="AU4" s="123">
        <v>14</v>
      </c>
      <c r="AV4" s="123">
        <v>15</v>
      </c>
      <c r="AW4" s="123">
        <v>16</v>
      </c>
      <c r="AX4" s="123">
        <v>17</v>
      </c>
      <c r="AY4" s="123">
        <v>18</v>
      </c>
      <c r="AZ4" s="123">
        <v>19</v>
      </c>
      <c r="BA4" s="123">
        <v>20</v>
      </c>
      <c r="BB4" s="123">
        <v>21</v>
      </c>
      <c r="BC4" s="123">
        <v>22</v>
      </c>
      <c r="BD4" s="123">
        <v>23</v>
      </c>
      <c r="BE4" s="123">
        <v>24</v>
      </c>
      <c r="BF4" s="123">
        <v>25</v>
      </c>
      <c r="BG4" s="123">
        <v>26</v>
      </c>
      <c r="BH4" s="123">
        <v>27</v>
      </c>
      <c r="BI4" s="171">
        <v>28</v>
      </c>
      <c r="BJ4" s="173">
        <v>29</v>
      </c>
      <c r="BK4" s="172">
        <v>30</v>
      </c>
      <c r="BL4" s="123">
        <v>31</v>
      </c>
      <c r="BM4" s="135">
        <v>1</v>
      </c>
      <c r="BN4" s="135">
        <v>2</v>
      </c>
      <c r="BO4" s="135">
        <v>3</v>
      </c>
      <c r="BP4" s="135">
        <v>4</v>
      </c>
      <c r="BQ4" s="135">
        <v>5</v>
      </c>
      <c r="BR4" s="135">
        <v>6</v>
      </c>
      <c r="BS4" s="135">
        <v>7</v>
      </c>
      <c r="BT4" s="135">
        <v>8</v>
      </c>
      <c r="BU4" s="135">
        <v>9</v>
      </c>
      <c r="BV4" s="135">
        <v>10</v>
      </c>
      <c r="BW4" s="135">
        <v>11</v>
      </c>
      <c r="BX4" s="135">
        <v>12</v>
      </c>
      <c r="BY4" s="135">
        <v>13</v>
      </c>
      <c r="BZ4" s="135">
        <v>14</v>
      </c>
      <c r="CA4" s="135">
        <v>15</v>
      </c>
      <c r="CB4" s="135">
        <v>16</v>
      </c>
      <c r="CC4" s="135">
        <v>17</v>
      </c>
      <c r="CD4" s="135">
        <v>18</v>
      </c>
      <c r="CE4" s="135">
        <v>19</v>
      </c>
      <c r="CF4" s="135">
        <v>20</v>
      </c>
      <c r="CG4" s="135">
        <v>21</v>
      </c>
      <c r="CH4" s="135">
        <v>22</v>
      </c>
      <c r="CI4" s="135">
        <v>23</v>
      </c>
      <c r="CJ4" s="135">
        <v>24</v>
      </c>
      <c r="CK4" s="135">
        <v>25</v>
      </c>
      <c r="CL4" s="135">
        <v>26</v>
      </c>
      <c r="CM4" s="158">
        <v>27</v>
      </c>
      <c r="CN4" s="168">
        <v>28</v>
      </c>
    </row>
    <row r="5" spans="1:92" ht="18" customHeight="1" x14ac:dyDescent="0.25">
      <c r="A5" s="191"/>
      <c r="B5" s="191"/>
      <c r="C5" s="141" t="s">
        <v>158</v>
      </c>
      <c r="D5" s="141" t="s">
        <v>159</v>
      </c>
      <c r="E5" s="141" t="s">
        <v>320</v>
      </c>
      <c r="F5" s="136" t="s">
        <v>160</v>
      </c>
      <c r="G5" s="141" t="s">
        <v>156</v>
      </c>
      <c r="H5" s="141" t="s">
        <v>157</v>
      </c>
      <c r="I5" s="141" t="s">
        <v>157</v>
      </c>
      <c r="J5" s="136" t="s">
        <v>158</v>
      </c>
      <c r="K5" s="141" t="s">
        <v>159</v>
      </c>
      <c r="L5" s="141" t="s">
        <v>320</v>
      </c>
      <c r="M5" s="136" t="s">
        <v>160</v>
      </c>
      <c r="N5" s="141" t="s">
        <v>156</v>
      </c>
      <c r="O5" s="141" t="s">
        <v>157</v>
      </c>
      <c r="P5" s="141" t="s">
        <v>157</v>
      </c>
      <c r="Q5" s="141" t="s">
        <v>158</v>
      </c>
      <c r="R5" s="141" t="s">
        <v>159</v>
      </c>
      <c r="S5" s="141" t="s">
        <v>320</v>
      </c>
      <c r="T5" s="136" t="s">
        <v>160</v>
      </c>
      <c r="U5" s="141" t="s">
        <v>156</v>
      </c>
      <c r="V5" s="141" t="s">
        <v>157</v>
      </c>
      <c r="W5" s="141" t="s">
        <v>157</v>
      </c>
      <c r="X5" s="141" t="s">
        <v>158</v>
      </c>
      <c r="Y5" s="141" t="s">
        <v>159</v>
      </c>
      <c r="Z5" s="141" t="s">
        <v>320</v>
      </c>
      <c r="AA5" s="136" t="s">
        <v>160</v>
      </c>
      <c r="AB5" s="141" t="s">
        <v>156</v>
      </c>
      <c r="AC5" s="141" t="s">
        <v>157</v>
      </c>
      <c r="AD5" s="141" t="s">
        <v>157</v>
      </c>
      <c r="AE5" s="141" t="s">
        <v>158</v>
      </c>
      <c r="AF5" s="141" t="s">
        <v>159</v>
      </c>
      <c r="AG5" s="141" t="s">
        <v>320</v>
      </c>
      <c r="AH5" s="136" t="s">
        <v>160</v>
      </c>
      <c r="AI5" s="141" t="s">
        <v>156</v>
      </c>
      <c r="AJ5" s="141" t="s">
        <v>157</v>
      </c>
      <c r="AK5" s="141" t="s">
        <v>157</v>
      </c>
      <c r="AL5" s="141" t="s">
        <v>158</v>
      </c>
      <c r="AM5" s="136" t="s">
        <v>159</v>
      </c>
      <c r="AN5" s="141" t="s">
        <v>320</v>
      </c>
      <c r="AO5" s="136" t="s">
        <v>160</v>
      </c>
      <c r="AP5" s="123" t="s">
        <v>156</v>
      </c>
      <c r="AQ5" s="141" t="s">
        <v>157</v>
      </c>
      <c r="AR5" s="141" t="s">
        <v>157</v>
      </c>
      <c r="AS5" s="141" t="s">
        <v>158</v>
      </c>
      <c r="AT5" s="141" t="s">
        <v>159</v>
      </c>
      <c r="AU5" s="141" t="s">
        <v>320</v>
      </c>
      <c r="AV5" s="136" t="s">
        <v>160</v>
      </c>
      <c r="AW5" s="141" t="s">
        <v>156</v>
      </c>
      <c r="AX5" s="141" t="s">
        <v>157</v>
      </c>
      <c r="AY5" s="141" t="s">
        <v>157</v>
      </c>
      <c r="AZ5" s="141" t="s">
        <v>158</v>
      </c>
      <c r="BA5" s="141" t="s">
        <v>159</v>
      </c>
      <c r="BB5" s="141" t="s">
        <v>320</v>
      </c>
      <c r="BC5" s="136" t="s">
        <v>160</v>
      </c>
      <c r="BD5" s="141" t="s">
        <v>156</v>
      </c>
      <c r="BE5" s="141" t="s">
        <v>157</v>
      </c>
      <c r="BF5" s="141" t="s">
        <v>157</v>
      </c>
      <c r="BG5" s="141" t="s">
        <v>158</v>
      </c>
      <c r="BH5" s="141" t="s">
        <v>159</v>
      </c>
      <c r="BI5" s="139" t="s">
        <v>320</v>
      </c>
      <c r="BJ5" s="163" t="s">
        <v>160</v>
      </c>
      <c r="BK5" s="140" t="s">
        <v>156</v>
      </c>
      <c r="BL5" s="141" t="s">
        <v>157</v>
      </c>
      <c r="BM5" s="141" t="s">
        <v>157</v>
      </c>
      <c r="BN5" s="141" t="s">
        <v>158</v>
      </c>
      <c r="BO5" s="141" t="s">
        <v>159</v>
      </c>
      <c r="BP5" s="141" t="s">
        <v>320</v>
      </c>
      <c r="BQ5" s="136" t="s">
        <v>160</v>
      </c>
      <c r="BR5" s="141" t="s">
        <v>156</v>
      </c>
      <c r="BS5" s="141" t="s">
        <v>157</v>
      </c>
      <c r="BT5" s="141" t="s">
        <v>157</v>
      </c>
      <c r="BU5" s="141" t="s">
        <v>158</v>
      </c>
      <c r="BV5" s="141" t="s">
        <v>159</v>
      </c>
      <c r="BW5" s="141" t="s">
        <v>320</v>
      </c>
      <c r="BX5" s="136" t="s">
        <v>160</v>
      </c>
      <c r="BY5" s="141" t="s">
        <v>156</v>
      </c>
      <c r="BZ5" s="141" t="s">
        <v>157</v>
      </c>
      <c r="CA5" s="141" t="s">
        <v>157</v>
      </c>
      <c r="CB5" s="141" t="s">
        <v>158</v>
      </c>
      <c r="CC5" s="141" t="s">
        <v>159</v>
      </c>
      <c r="CD5" s="141" t="s">
        <v>320</v>
      </c>
      <c r="CE5" s="136" t="s">
        <v>160</v>
      </c>
      <c r="CF5" s="141" t="s">
        <v>156</v>
      </c>
      <c r="CG5" s="141" t="s">
        <v>157</v>
      </c>
      <c r="CH5" s="141" t="s">
        <v>157</v>
      </c>
      <c r="CI5" s="141" t="s">
        <v>158</v>
      </c>
      <c r="CJ5" s="141" t="s">
        <v>159</v>
      </c>
      <c r="CK5" s="141" t="s">
        <v>320</v>
      </c>
      <c r="CL5" s="136" t="s">
        <v>160</v>
      </c>
      <c r="CM5" s="139" t="s">
        <v>156</v>
      </c>
      <c r="CN5" s="164" t="s">
        <v>157</v>
      </c>
    </row>
    <row r="6" spans="1:92" ht="18" customHeight="1" x14ac:dyDescent="0.25">
      <c r="A6" s="124">
        <v>1</v>
      </c>
      <c r="B6" s="96" t="s">
        <v>270</v>
      </c>
      <c r="C6" s="125"/>
      <c r="D6" s="125"/>
      <c r="E6" s="125"/>
      <c r="F6" s="133"/>
      <c r="G6" s="126"/>
      <c r="H6" s="126"/>
      <c r="I6" s="126"/>
      <c r="J6" s="133"/>
      <c r="K6" s="126"/>
      <c r="L6" s="126"/>
      <c r="M6" s="133"/>
      <c r="N6" s="126"/>
      <c r="O6" s="126"/>
      <c r="P6" s="126"/>
      <c r="Q6" s="118"/>
      <c r="R6" s="118"/>
      <c r="S6" s="118"/>
      <c r="T6" s="115"/>
      <c r="U6" s="118"/>
      <c r="V6" s="118"/>
      <c r="W6" s="118"/>
      <c r="X6" s="118"/>
      <c r="Y6" s="118"/>
      <c r="Z6" s="118"/>
      <c r="AA6" s="115"/>
      <c r="AB6" s="118"/>
      <c r="AC6" s="118"/>
      <c r="AD6" s="118"/>
      <c r="AE6" s="118"/>
      <c r="AF6" s="118"/>
      <c r="AG6" s="118"/>
      <c r="AH6" s="115"/>
      <c r="AI6" s="118"/>
      <c r="AJ6" s="118"/>
      <c r="AK6" s="118"/>
      <c r="AL6" s="118"/>
      <c r="AM6" s="115"/>
      <c r="AN6" s="118"/>
      <c r="AO6" s="115"/>
      <c r="AP6" s="118"/>
      <c r="AQ6" s="118"/>
      <c r="AR6" s="118"/>
      <c r="AS6" s="118"/>
      <c r="AT6" s="118"/>
      <c r="AU6" s="118"/>
      <c r="AV6" s="115"/>
      <c r="AW6" s="118"/>
      <c r="AX6" s="118"/>
      <c r="AY6" s="118"/>
      <c r="AZ6" s="118"/>
      <c r="BA6" s="118"/>
      <c r="BB6" s="118"/>
      <c r="BC6" s="115"/>
      <c r="BD6" s="118"/>
      <c r="BE6" s="118"/>
      <c r="BF6" s="118"/>
      <c r="BG6" s="118"/>
      <c r="BH6" s="118"/>
      <c r="BI6" s="147"/>
      <c r="BJ6" s="165"/>
      <c r="BK6" s="153"/>
      <c r="BL6" s="118"/>
      <c r="BM6" s="118"/>
      <c r="BN6" s="118"/>
      <c r="BO6" s="118"/>
      <c r="BP6" s="118"/>
      <c r="BQ6" s="115"/>
      <c r="BR6" s="118"/>
      <c r="BS6" s="118"/>
      <c r="BT6" s="118"/>
      <c r="BU6" s="118"/>
      <c r="BV6" s="118"/>
      <c r="BW6" s="118"/>
      <c r="BX6" s="115"/>
      <c r="BY6" s="118"/>
      <c r="BZ6" s="118"/>
      <c r="CA6" s="118"/>
      <c r="CB6" s="118"/>
      <c r="CC6" s="118"/>
      <c r="CD6" s="118"/>
      <c r="CE6" s="115"/>
      <c r="CF6" s="118"/>
      <c r="CG6" s="118"/>
      <c r="CH6" s="118"/>
      <c r="CI6" s="118"/>
      <c r="CJ6" s="118"/>
      <c r="CK6" s="118"/>
      <c r="CL6" s="115"/>
      <c r="CM6" s="147"/>
      <c r="CN6" s="165"/>
    </row>
    <row r="7" spans="1:92" ht="18" customHeight="1" x14ac:dyDescent="0.25">
      <c r="A7" s="124">
        <v>2</v>
      </c>
      <c r="B7" s="96" t="s">
        <v>26</v>
      </c>
      <c r="C7" s="125"/>
      <c r="D7" s="125"/>
      <c r="E7" s="125"/>
      <c r="F7" s="133"/>
      <c r="G7" s="126"/>
      <c r="H7" s="126"/>
      <c r="I7" s="126"/>
      <c r="J7" s="133"/>
      <c r="K7" s="126"/>
      <c r="L7" s="126"/>
      <c r="M7" s="133"/>
      <c r="N7" s="126"/>
      <c r="O7" s="126"/>
      <c r="P7" s="126"/>
      <c r="Q7" s="118"/>
      <c r="R7" s="118"/>
      <c r="S7" s="118"/>
      <c r="T7" s="115"/>
      <c r="U7" s="118"/>
      <c r="V7" s="118"/>
      <c r="W7" s="118"/>
      <c r="X7" s="118"/>
      <c r="Y7" s="118"/>
      <c r="Z7" s="118"/>
      <c r="AA7" s="115"/>
      <c r="AB7" s="118"/>
      <c r="AC7" s="118"/>
      <c r="AD7" s="118"/>
      <c r="AE7" s="118"/>
      <c r="AF7" s="118"/>
      <c r="AG7" s="118"/>
      <c r="AH7" s="115"/>
      <c r="AI7" s="118"/>
      <c r="AJ7" s="118"/>
      <c r="AK7" s="118"/>
      <c r="AL7" s="118"/>
      <c r="AM7" s="115"/>
      <c r="AN7" s="118"/>
      <c r="AO7" s="115"/>
      <c r="AP7" s="118"/>
      <c r="AQ7" s="118"/>
      <c r="AR7" s="118"/>
      <c r="AS7" s="118"/>
      <c r="AT7" s="118"/>
      <c r="AU7" s="118"/>
      <c r="AV7" s="115"/>
      <c r="AW7" s="118"/>
      <c r="AX7" s="118"/>
      <c r="AY7" s="118"/>
      <c r="AZ7" s="118"/>
      <c r="BA7" s="118"/>
      <c r="BB7" s="118"/>
      <c r="BC7" s="115"/>
      <c r="BD7" s="118"/>
      <c r="BE7" s="118"/>
      <c r="BF7" s="118"/>
      <c r="BG7" s="118"/>
      <c r="BH7" s="118"/>
      <c r="BI7" s="147"/>
      <c r="BJ7" s="165"/>
      <c r="BK7" s="153"/>
      <c r="BL7" s="118"/>
      <c r="BM7" s="118"/>
      <c r="BN7" s="118"/>
      <c r="BO7" s="118"/>
      <c r="BP7" s="118"/>
      <c r="BQ7" s="115"/>
      <c r="BR7" s="118"/>
      <c r="BS7" s="118"/>
      <c r="BT7" s="118"/>
      <c r="BU7" s="118"/>
      <c r="BV7" s="118"/>
      <c r="BW7" s="118"/>
      <c r="BX7" s="115"/>
      <c r="BY7" s="118"/>
      <c r="BZ7" s="118"/>
      <c r="CA7" s="118"/>
      <c r="CB7" s="118"/>
      <c r="CC7" s="118"/>
      <c r="CD7" s="118"/>
      <c r="CE7" s="115"/>
      <c r="CF7" s="118"/>
      <c r="CG7" s="118"/>
      <c r="CH7" s="118"/>
      <c r="CI7" s="118"/>
      <c r="CJ7" s="118"/>
      <c r="CK7" s="118"/>
      <c r="CL7" s="115"/>
      <c r="CM7" s="147"/>
      <c r="CN7" s="165"/>
    </row>
    <row r="8" spans="1:92" ht="18" customHeight="1" x14ac:dyDescent="0.25">
      <c r="A8" s="124">
        <v>3</v>
      </c>
      <c r="B8" s="96" t="s">
        <v>23</v>
      </c>
      <c r="C8" s="127"/>
      <c r="D8" s="127"/>
      <c r="E8" s="127"/>
      <c r="F8" s="134"/>
      <c r="G8" s="128"/>
      <c r="H8" s="128"/>
      <c r="I8" s="128"/>
      <c r="J8" s="134"/>
      <c r="K8" s="128"/>
      <c r="L8" s="128"/>
      <c r="M8" s="134"/>
      <c r="N8" s="128"/>
      <c r="O8" s="128"/>
      <c r="P8" s="128"/>
      <c r="Q8" s="118"/>
      <c r="R8" s="118"/>
      <c r="S8" s="118"/>
      <c r="T8" s="115"/>
      <c r="U8" s="118"/>
      <c r="V8" s="118"/>
      <c r="W8" s="118"/>
      <c r="X8" s="118"/>
      <c r="Y8" s="118"/>
      <c r="Z8" s="118"/>
      <c r="AA8" s="115"/>
      <c r="AB8" s="118"/>
      <c r="AC8" s="118"/>
      <c r="AD8" s="118"/>
      <c r="AE8" s="118"/>
      <c r="AF8" s="118"/>
      <c r="AG8" s="118"/>
      <c r="AH8" s="115"/>
      <c r="AI8" s="118"/>
      <c r="AJ8" s="118"/>
      <c r="AK8" s="118"/>
      <c r="AL8" s="118"/>
      <c r="AM8" s="115"/>
      <c r="AN8" s="118"/>
      <c r="AO8" s="115"/>
      <c r="AP8" s="118"/>
      <c r="AQ8" s="118"/>
      <c r="AR8" s="118"/>
      <c r="AS8" s="118"/>
      <c r="AT8" s="118"/>
      <c r="AU8" s="118"/>
      <c r="AV8" s="115"/>
      <c r="AW8" s="118"/>
      <c r="AX8" s="118"/>
      <c r="AY8" s="118"/>
      <c r="AZ8" s="118"/>
      <c r="BA8" s="118"/>
      <c r="BB8" s="118"/>
      <c r="BC8" s="115"/>
      <c r="BD8" s="118"/>
      <c r="BE8" s="118"/>
      <c r="BF8" s="118"/>
      <c r="BG8" s="118"/>
      <c r="BH8" s="118"/>
      <c r="BI8" s="147"/>
      <c r="BJ8" s="165"/>
      <c r="BK8" s="153"/>
      <c r="BL8" s="118"/>
      <c r="BM8" s="118"/>
      <c r="BN8" s="118"/>
      <c r="BO8" s="118"/>
      <c r="BP8" s="118"/>
      <c r="BQ8" s="115"/>
      <c r="BR8" s="118"/>
      <c r="BS8" s="118"/>
      <c r="BT8" s="118"/>
      <c r="BU8" s="118"/>
      <c r="BV8" s="118"/>
      <c r="BW8" s="118"/>
      <c r="BX8" s="115"/>
      <c r="BY8" s="118"/>
      <c r="BZ8" s="118"/>
      <c r="CA8" s="118"/>
      <c r="CB8" s="118"/>
      <c r="CC8" s="118"/>
      <c r="CD8" s="118"/>
      <c r="CE8" s="115"/>
      <c r="CF8" s="118"/>
      <c r="CG8" s="118"/>
      <c r="CH8" s="118"/>
      <c r="CI8" s="118"/>
      <c r="CJ8" s="118"/>
      <c r="CK8" s="118"/>
      <c r="CL8" s="115"/>
      <c r="CM8" s="147"/>
      <c r="CN8" s="165"/>
    </row>
    <row r="9" spans="1:92" ht="18" customHeight="1" x14ac:dyDescent="0.25">
      <c r="A9" s="124">
        <v>4</v>
      </c>
      <c r="B9" s="96" t="s">
        <v>274</v>
      </c>
      <c r="C9" s="127"/>
      <c r="D9" s="127"/>
      <c r="E9" s="127"/>
      <c r="F9" s="134"/>
      <c r="G9" s="128"/>
      <c r="H9" s="128"/>
      <c r="I9" s="128"/>
      <c r="J9" s="134"/>
      <c r="K9" s="128"/>
      <c r="L9" s="128"/>
      <c r="M9" s="134"/>
      <c r="N9" s="128"/>
      <c r="O9" s="128"/>
      <c r="P9" s="128"/>
      <c r="Q9" s="118"/>
      <c r="R9" s="118"/>
      <c r="S9" s="118"/>
      <c r="T9" s="115"/>
      <c r="U9" s="118"/>
      <c r="V9" s="118"/>
      <c r="W9" s="118"/>
      <c r="X9" s="118"/>
      <c r="Y9" s="118"/>
      <c r="Z9" s="118"/>
      <c r="AA9" s="115"/>
      <c r="AB9" s="118"/>
      <c r="AC9" s="118"/>
      <c r="AD9" s="118"/>
      <c r="AE9" s="118"/>
      <c r="AF9" s="118"/>
      <c r="AG9" s="118"/>
      <c r="AH9" s="115"/>
      <c r="AI9" s="118"/>
      <c r="AJ9" s="118"/>
      <c r="AK9" s="118"/>
      <c r="AL9" s="118"/>
      <c r="AM9" s="115"/>
      <c r="AN9" s="118"/>
      <c r="AO9" s="115"/>
      <c r="AP9" s="118"/>
      <c r="AQ9" s="118"/>
      <c r="AR9" s="118"/>
      <c r="AS9" s="118"/>
      <c r="AT9" s="118"/>
      <c r="AU9" s="118"/>
      <c r="AV9" s="115"/>
      <c r="AW9" s="118"/>
      <c r="AX9" s="118"/>
      <c r="AY9" s="118"/>
      <c r="AZ9" s="118"/>
      <c r="BA9" s="118"/>
      <c r="BB9" s="118"/>
      <c r="BC9" s="115"/>
      <c r="BD9" s="118"/>
      <c r="BE9" s="118"/>
      <c r="BF9" s="118"/>
      <c r="BG9" s="118"/>
      <c r="BH9" s="118"/>
      <c r="BI9" s="147"/>
      <c r="BJ9" s="165"/>
      <c r="BK9" s="153"/>
      <c r="BL9" s="118"/>
      <c r="BM9" s="118"/>
      <c r="BN9" s="118"/>
      <c r="BO9" s="118"/>
      <c r="BP9" s="118"/>
      <c r="BQ9" s="115"/>
      <c r="BR9" s="118"/>
      <c r="BS9" s="118"/>
      <c r="BT9" s="118"/>
      <c r="BU9" s="118"/>
      <c r="BV9" s="118"/>
      <c r="BW9" s="118"/>
      <c r="BX9" s="115"/>
      <c r="BY9" s="118"/>
      <c r="BZ9" s="118"/>
      <c r="CA9" s="118"/>
      <c r="CB9" s="118"/>
      <c r="CC9" s="118"/>
      <c r="CD9" s="118"/>
      <c r="CE9" s="115"/>
      <c r="CF9" s="118"/>
      <c r="CG9" s="118"/>
      <c r="CH9" s="118"/>
      <c r="CI9" s="118"/>
      <c r="CJ9" s="118"/>
      <c r="CK9" s="118"/>
      <c r="CL9" s="115"/>
      <c r="CM9" s="147"/>
      <c r="CN9" s="165"/>
    </row>
    <row r="10" spans="1:92" ht="18" customHeight="1" x14ac:dyDescent="0.25">
      <c r="A10" s="124">
        <v>5</v>
      </c>
      <c r="B10" s="96" t="s">
        <v>25</v>
      </c>
      <c r="C10" s="128"/>
      <c r="D10" s="128"/>
      <c r="E10" s="128"/>
      <c r="F10" s="134"/>
      <c r="G10" s="129"/>
      <c r="H10" s="128"/>
      <c r="I10" s="128"/>
      <c r="J10" s="134"/>
      <c r="K10" s="128"/>
      <c r="L10" s="128"/>
      <c r="M10" s="134"/>
      <c r="N10" s="128"/>
      <c r="O10" s="128"/>
      <c r="P10" s="128"/>
      <c r="Q10" s="118"/>
      <c r="R10" s="118"/>
      <c r="S10" s="118"/>
      <c r="T10" s="115"/>
      <c r="U10" s="118"/>
      <c r="V10" s="118"/>
      <c r="W10" s="118"/>
      <c r="X10" s="118"/>
      <c r="Y10" s="118"/>
      <c r="Z10" s="118"/>
      <c r="AA10" s="115"/>
      <c r="AB10" s="118"/>
      <c r="AC10" s="118"/>
      <c r="AD10" s="118"/>
      <c r="AE10" s="118"/>
      <c r="AF10" s="118"/>
      <c r="AG10" s="118"/>
      <c r="AH10" s="115"/>
      <c r="AI10" s="118"/>
      <c r="AJ10" s="118"/>
      <c r="AK10" s="118"/>
      <c r="AL10" s="118"/>
      <c r="AM10" s="115"/>
      <c r="AN10" s="118"/>
      <c r="AO10" s="115"/>
      <c r="AP10" s="118"/>
      <c r="AQ10" s="118"/>
      <c r="AR10" s="118"/>
      <c r="AS10" s="118"/>
      <c r="AT10" s="118"/>
      <c r="AU10" s="118"/>
      <c r="AV10" s="115"/>
      <c r="AW10" s="118"/>
      <c r="AX10" s="118"/>
      <c r="AY10" s="118"/>
      <c r="AZ10" s="118"/>
      <c r="BA10" s="118"/>
      <c r="BB10" s="118"/>
      <c r="BC10" s="115"/>
      <c r="BD10" s="118"/>
      <c r="BE10" s="118"/>
      <c r="BF10" s="118"/>
      <c r="BG10" s="118"/>
      <c r="BH10" s="118"/>
      <c r="BI10" s="147"/>
      <c r="BJ10" s="165"/>
      <c r="BK10" s="153"/>
      <c r="BL10" s="118"/>
      <c r="BM10" s="118"/>
      <c r="BN10" s="118"/>
      <c r="BO10" s="118"/>
      <c r="BP10" s="118"/>
      <c r="BQ10" s="115"/>
      <c r="BR10" s="118"/>
      <c r="BS10" s="118"/>
      <c r="BT10" s="118"/>
      <c r="BU10" s="118"/>
      <c r="BV10" s="118"/>
      <c r="BW10" s="118"/>
      <c r="BX10" s="115"/>
      <c r="BY10" s="118"/>
      <c r="BZ10" s="118"/>
      <c r="CA10" s="118"/>
      <c r="CB10" s="118"/>
      <c r="CC10" s="118"/>
      <c r="CD10" s="118"/>
      <c r="CE10" s="115"/>
      <c r="CF10" s="118"/>
      <c r="CG10" s="118"/>
      <c r="CH10" s="118"/>
      <c r="CI10" s="118"/>
      <c r="CJ10" s="118"/>
      <c r="CK10" s="118"/>
      <c r="CL10" s="115"/>
      <c r="CM10" s="147"/>
      <c r="CN10" s="165"/>
    </row>
    <row r="11" spans="1:92" ht="18" customHeight="1" x14ac:dyDescent="0.25">
      <c r="A11" s="124">
        <v>6</v>
      </c>
      <c r="B11" s="96" t="s">
        <v>161</v>
      </c>
      <c r="C11" s="128"/>
      <c r="D11" s="128"/>
      <c r="E11" s="128"/>
      <c r="F11" s="134"/>
      <c r="G11" s="142"/>
      <c r="H11" s="127"/>
      <c r="I11" s="127"/>
      <c r="J11" s="134"/>
      <c r="K11" s="127"/>
      <c r="L11" s="127"/>
      <c r="M11" s="134"/>
      <c r="N11" s="128"/>
      <c r="O11" s="128"/>
      <c r="P11" s="128"/>
      <c r="Q11" s="118"/>
      <c r="R11" s="118"/>
      <c r="S11" s="118"/>
      <c r="T11" s="115"/>
      <c r="U11" s="118"/>
      <c r="V11" s="118"/>
      <c r="W11" s="118"/>
      <c r="X11" s="118"/>
      <c r="Y11" s="118"/>
      <c r="Z11" s="118"/>
      <c r="AA11" s="115"/>
      <c r="AB11" s="118"/>
      <c r="AC11" s="118"/>
      <c r="AD11" s="118"/>
      <c r="AE11" s="118"/>
      <c r="AF11" s="118"/>
      <c r="AG11" s="118"/>
      <c r="AH11" s="115"/>
      <c r="AI11" s="118"/>
      <c r="AJ11" s="118"/>
      <c r="AK11" s="118"/>
      <c r="AL11" s="118"/>
      <c r="AM11" s="115"/>
      <c r="AN11" s="118"/>
      <c r="AO11" s="115"/>
      <c r="AP11" s="118"/>
      <c r="AQ11" s="118"/>
      <c r="AR11" s="118"/>
      <c r="AS11" s="118"/>
      <c r="AT11" s="118"/>
      <c r="AU11" s="118"/>
      <c r="AV11" s="115"/>
      <c r="AW11" s="118"/>
      <c r="AX11" s="118"/>
      <c r="AY11" s="118"/>
      <c r="AZ11" s="118"/>
      <c r="BA11" s="118"/>
      <c r="BB11" s="118"/>
      <c r="BC11" s="115"/>
      <c r="BD11" s="118"/>
      <c r="BE11" s="118"/>
      <c r="BF11" s="118"/>
      <c r="BG11" s="118"/>
      <c r="BH11" s="118"/>
      <c r="BI11" s="147"/>
      <c r="BJ11" s="165"/>
      <c r="BK11" s="153"/>
      <c r="BL11" s="118"/>
      <c r="BM11" s="118"/>
      <c r="BN11" s="118"/>
      <c r="BO11" s="118"/>
      <c r="BP11" s="118"/>
      <c r="BQ11" s="115"/>
      <c r="BR11" s="118"/>
      <c r="BS11" s="118"/>
      <c r="BT11" s="118"/>
      <c r="BU11" s="118"/>
      <c r="BV11" s="118"/>
      <c r="BW11" s="118"/>
      <c r="BX11" s="115"/>
      <c r="BY11" s="118"/>
      <c r="BZ11" s="118"/>
      <c r="CA11" s="118"/>
      <c r="CB11" s="118"/>
      <c r="CC11" s="118"/>
      <c r="CD11" s="118"/>
      <c r="CE11" s="115"/>
      <c r="CF11" s="118"/>
      <c r="CG11" s="118"/>
      <c r="CH11" s="118"/>
      <c r="CI11" s="118"/>
      <c r="CJ11" s="118"/>
      <c r="CK11" s="118"/>
      <c r="CL11" s="115"/>
      <c r="CM11" s="147"/>
      <c r="CN11" s="165"/>
    </row>
    <row r="12" spans="1:92" ht="18" customHeight="1" x14ac:dyDescent="0.25">
      <c r="A12" s="181">
        <v>7</v>
      </c>
      <c r="B12" s="118" t="s">
        <v>275</v>
      </c>
      <c r="C12" s="118"/>
      <c r="D12" s="118"/>
      <c r="E12" s="118"/>
      <c r="F12" s="115"/>
      <c r="G12" s="118"/>
      <c r="H12" s="118"/>
      <c r="I12" s="118"/>
      <c r="J12" s="115"/>
      <c r="K12" s="116"/>
      <c r="L12" s="116"/>
      <c r="M12" s="115"/>
      <c r="N12" s="116"/>
      <c r="O12" s="116"/>
      <c r="P12" s="116"/>
      <c r="Q12" s="116"/>
      <c r="R12" s="118"/>
      <c r="S12" s="126"/>
      <c r="T12" s="133"/>
      <c r="U12" s="126"/>
      <c r="V12" s="118"/>
      <c r="W12" s="118"/>
      <c r="X12" s="118"/>
      <c r="Y12" s="118"/>
      <c r="Z12" s="118"/>
      <c r="AA12" s="115"/>
      <c r="AB12" s="118"/>
      <c r="AC12" s="118"/>
      <c r="AD12" s="118"/>
      <c r="AE12" s="118"/>
      <c r="AF12" s="118"/>
      <c r="AG12" s="118"/>
      <c r="AH12" s="115"/>
      <c r="AI12" s="118"/>
      <c r="AJ12" s="118"/>
      <c r="AK12" s="118"/>
      <c r="AL12" s="118"/>
      <c r="AM12" s="115"/>
      <c r="AN12" s="118"/>
      <c r="AO12" s="115"/>
      <c r="AP12" s="118"/>
      <c r="AQ12" s="118"/>
      <c r="AR12" s="118"/>
      <c r="AS12" s="118"/>
      <c r="AT12" s="118"/>
      <c r="AU12" s="118"/>
      <c r="AV12" s="115"/>
      <c r="AW12" s="118"/>
      <c r="AX12" s="118"/>
      <c r="AY12" s="118"/>
      <c r="AZ12" s="118"/>
      <c r="BA12" s="118"/>
      <c r="BB12" s="118"/>
      <c r="BC12" s="115"/>
      <c r="BD12" s="118"/>
      <c r="BE12" s="118"/>
      <c r="BF12" s="118"/>
      <c r="BG12" s="118"/>
      <c r="BH12" s="118"/>
      <c r="BI12" s="147"/>
      <c r="BJ12" s="165"/>
      <c r="BK12" s="153"/>
      <c r="BL12" s="118"/>
      <c r="BM12" s="118"/>
      <c r="BN12" s="118"/>
      <c r="BO12" s="118"/>
      <c r="BP12" s="118"/>
      <c r="BQ12" s="115"/>
      <c r="BR12" s="118"/>
      <c r="BS12" s="118"/>
      <c r="BT12" s="118"/>
      <c r="BU12" s="118"/>
      <c r="BV12" s="118"/>
      <c r="BW12" s="118"/>
      <c r="BX12" s="115"/>
      <c r="BY12" s="118"/>
      <c r="BZ12" s="118"/>
      <c r="CA12" s="118"/>
      <c r="CB12" s="118"/>
      <c r="CC12" s="118"/>
      <c r="CD12" s="118"/>
      <c r="CE12" s="115"/>
      <c r="CF12" s="118"/>
      <c r="CG12" s="118"/>
      <c r="CH12" s="118"/>
      <c r="CI12" s="118"/>
      <c r="CJ12" s="118"/>
      <c r="CK12" s="118"/>
      <c r="CL12" s="115"/>
      <c r="CM12" s="147"/>
      <c r="CN12" s="165"/>
    </row>
    <row r="13" spans="1:92" ht="18" customHeight="1" x14ac:dyDescent="0.25">
      <c r="A13" s="181">
        <v>8</v>
      </c>
      <c r="B13" s="181" t="s">
        <v>276</v>
      </c>
      <c r="C13" s="118"/>
      <c r="D13" s="118"/>
      <c r="E13" s="118"/>
      <c r="F13" s="115"/>
      <c r="G13" s="118"/>
      <c r="H13" s="118"/>
      <c r="I13" s="118"/>
      <c r="J13" s="115"/>
      <c r="K13" s="118"/>
      <c r="L13" s="118"/>
      <c r="M13" s="115"/>
      <c r="N13" s="118"/>
      <c r="O13" s="118"/>
      <c r="P13" s="116"/>
      <c r="Q13" s="116"/>
      <c r="R13" s="116"/>
      <c r="S13" s="116"/>
      <c r="T13" s="115"/>
      <c r="U13" s="118"/>
      <c r="V13" s="118"/>
      <c r="W13" s="118"/>
      <c r="X13" s="118"/>
      <c r="Y13" s="118"/>
      <c r="Z13" s="118"/>
      <c r="AA13" s="115"/>
      <c r="AB13" s="118"/>
      <c r="AC13" s="118"/>
      <c r="AD13" s="118"/>
      <c r="AE13" s="128"/>
      <c r="AF13" s="128"/>
      <c r="AG13" s="128"/>
      <c r="AH13" s="134"/>
      <c r="AI13" s="128"/>
      <c r="AJ13" s="128"/>
      <c r="AK13" s="128"/>
      <c r="AL13" s="128"/>
      <c r="AM13" s="134"/>
      <c r="AN13" s="128"/>
      <c r="AO13" s="134"/>
      <c r="AP13" s="128"/>
      <c r="AQ13" s="118"/>
      <c r="AR13" s="118"/>
      <c r="AS13" s="118"/>
      <c r="AT13" s="118"/>
      <c r="AU13" s="118"/>
      <c r="AV13" s="134"/>
      <c r="AW13" s="118"/>
      <c r="AX13" s="118"/>
      <c r="AY13" s="118"/>
      <c r="AZ13" s="118"/>
      <c r="BA13" s="118"/>
      <c r="BB13" s="118"/>
      <c r="BC13" s="134"/>
      <c r="BD13" s="118"/>
      <c r="BE13" s="118"/>
      <c r="BF13" s="118"/>
      <c r="BG13" s="118"/>
      <c r="BH13" s="118"/>
      <c r="BI13" s="147"/>
      <c r="BJ13" s="167"/>
      <c r="BK13" s="153"/>
      <c r="BL13" s="118"/>
      <c r="BM13" s="118"/>
      <c r="BN13" s="118"/>
      <c r="BO13" s="118"/>
      <c r="BP13" s="118"/>
      <c r="BQ13" s="134"/>
      <c r="BR13" s="118"/>
      <c r="BS13" s="118"/>
      <c r="BT13" s="118"/>
      <c r="BU13" s="118"/>
      <c r="BV13" s="118"/>
      <c r="BW13" s="118"/>
      <c r="BX13" s="134"/>
      <c r="BY13" s="118"/>
      <c r="BZ13" s="118"/>
      <c r="CA13" s="118"/>
      <c r="CB13" s="118"/>
      <c r="CC13" s="118"/>
      <c r="CD13" s="118"/>
      <c r="CE13" s="134"/>
      <c r="CF13" s="118"/>
      <c r="CG13" s="118"/>
      <c r="CH13" s="118"/>
      <c r="CI13" s="118"/>
      <c r="CJ13" s="118"/>
      <c r="CK13" s="118"/>
      <c r="CL13" s="134"/>
      <c r="CM13" s="147"/>
      <c r="CN13" s="165"/>
    </row>
    <row r="14" spans="1:92" ht="18" customHeight="1" x14ac:dyDescent="0.25">
      <c r="A14" s="181">
        <v>9</v>
      </c>
      <c r="B14" s="181" t="s">
        <v>277</v>
      </c>
      <c r="C14" s="118"/>
      <c r="D14" s="118"/>
      <c r="E14" s="118"/>
      <c r="F14" s="115"/>
      <c r="G14" s="118"/>
      <c r="H14" s="118"/>
      <c r="I14" s="118"/>
      <c r="J14" s="115"/>
      <c r="K14" s="118"/>
      <c r="L14" s="118"/>
      <c r="M14" s="115"/>
      <c r="N14" s="118"/>
      <c r="O14" s="118"/>
      <c r="P14" s="131"/>
      <c r="Q14" s="131"/>
      <c r="R14" s="116"/>
      <c r="S14" s="116"/>
      <c r="T14" s="115"/>
      <c r="U14" s="116"/>
      <c r="V14" s="116"/>
      <c r="W14" s="118"/>
      <c r="X14" s="118"/>
      <c r="Y14" s="118"/>
      <c r="Z14" s="118"/>
      <c r="AA14" s="115"/>
      <c r="AB14" s="118"/>
      <c r="AC14" s="118"/>
      <c r="AD14" s="118"/>
      <c r="AE14" s="118"/>
      <c r="AF14" s="118"/>
      <c r="AG14" s="118"/>
      <c r="AH14" s="115"/>
      <c r="AI14" s="118"/>
      <c r="AJ14" s="118"/>
      <c r="AK14" s="118"/>
      <c r="AL14" s="118"/>
      <c r="AM14" s="115"/>
      <c r="AN14" s="118"/>
      <c r="AO14" s="115"/>
      <c r="AP14" s="118"/>
      <c r="AQ14" s="118"/>
      <c r="AR14" s="118"/>
      <c r="AS14" s="126"/>
      <c r="AT14" s="126"/>
      <c r="AU14" s="126"/>
      <c r="AV14" s="115"/>
      <c r="AW14" s="126"/>
      <c r="AX14" s="126"/>
      <c r="AY14" s="126"/>
      <c r="AZ14" s="126"/>
      <c r="BA14" s="126"/>
      <c r="BB14" s="126"/>
      <c r="BC14" s="115"/>
      <c r="BD14" s="126"/>
      <c r="BE14" s="126"/>
      <c r="BF14" s="126"/>
      <c r="BG14" s="126"/>
      <c r="BH14" s="126"/>
      <c r="BI14" s="148"/>
      <c r="BJ14" s="165"/>
      <c r="BK14" s="153"/>
      <c r="BL14" s="118"/>
      <c r="BM14" s="118"/>
      <c r="BN14" s="118"/>
      <c r="BO14" s="118"/>
      <c r="BP14" s="118"/>
      <c r="BQ14" s="115"/>
      <c r="BR14" s="118"/>
      <c r="BS14" s="118"/>
      <c r="BT14" s="118"/>
      <c r="BU14" s="118"/>
      <c r="BV14" s="118"/>
      <c r="BW14" s="118"/>
      <c r="BX14" s="115"/>
      <c r="BY14" s="118"/>
      <c r="BZ14" s="118"/>
      <c r="CA14" s="118"/>
      <c r="CB14" s="118"/>
      <c r="CC14" s="118"/>
      <c r="CD14" s="118"/>
      <c r="CE14" s="115"/>
      <c r="CF14" s="118"/>
      <c r="CG14" s="118"/>
      <c r="CH14" s="118"/>
      <c r="CI14" s="118"/>
      <c r="CJ14" s="118"/>
      <c r="CK14" s="118"/>
      <c r="CL14" s="115"/>
      <c r="CM14" s="147"/>
      <c r="CN14" s="165"/>
    </row>
    <row r="15" spans="1:92" ht="18" customHeight="1" x14ac:dyDescent="0.25">
      <c r="A15" s="181">
        <v>10</v>
      </c>
      <c r="B15" s="118" t="s">
        <v>273</v>
      </c>
      <c r="C15" s="118"/>
      <c r="D15" s="118"/>
      <c r="E15" s="118"/>
      <c r="F15" s="115"/>
      <c r="G15" s="118"/>
      <c r="H15" s="118"/>
      <c r="I15" s="118"/>
      <c r="J15" s="115"/>
      <c r="K15" s="118"/>
      <c r="L15" s="118"/>
      <c r="M15" s="115"/>
      <c r="N15" s="118"/>
      <c r="O15" s="118"/>
      <c r="P15" s="118"/>
      <c r="Q15" s="131"/>
      <c r="R15" s="143"/>
      <c r="S15" s="116"/>
      <c r="T15" s="115"/>
      <c r="U15" s="116"/>
      <c r="V15" s="116"/>
      <c r="W15" s="118"/>
      <c r="X15" s="118"/>
      <c r="Y15" s="118"/>
      <c r="Z15" s="118"/>
      <c r="AA15" s="115"/>
      <c r="AB15" s="118"/>
      <c r="AC15" s="118"/>
      <c r="AD15" s="118"/>
      <c r="AE15" s="118"/>
      <c r="AF15" s="118"/>
      <c r="AG15" s="118"/>
      <c r="AH15" s="115"/>
      <c r="AI15" s="118"/>
      <c r="AJ15" s="118"/>
      <c r="AK15" s="118"/>
      <c r="AL15" s="118"/>
      <c r="AM15" s="115"/>
      <c r="AN15" s="118"/>
      <c r="AO15" s="115"/>
      <c r="AP15" s="118"/>
      <c r="AQ15" s="118"/>
      <c r="AR15" s="118"/>
      <c r="AS15" s="118"/>
      <c r="AT15" s="118"/>
      <c r="AU15" s="118"/>
      <c r="AV15" s="115"/>
      <c r="AW15" s="118"/>
      <c r="AX15" s="118"/>
      <c r="AY15" s="118"/>
      <c r="AZ15" s="128"/>
      <c r="BA15" s="128"/>
      <c r="BB15" s="128"/>
      <c r="BC15" s="115"/>
      <c r="BD15" s="128"/>
      <c r="BE15" s="128"/>
      <c r="BF15" s="128"/>
      <c r="BG15" s="128"/>
      <c r="BH15" s="128"/>
      <c r="BI15" s="149"/>
      <c r="BJ15" s="165"/>
      <c r="BK15" s="153"/>
      <c r="BL15" s="118"/>
      <c r="BM15" s="118"/>
      <c r="BN15" s="118"/>
      <c r="BO15" s="118"/>
      <c r="BP15" s="118"/>
      <c r="BQ15" s="115"/>
      <c r="BR15" s="118"/>
      <c r="BS15" s="118"/>
      <c r="BT15" s="118"/>
      <c r="BU15" s="118"/>
      <c r="BV15" s="118"/>
      <c r="BW15" s="118"/>
      <c r="BX15" s="115"/>
      <c r="BY15" s="118"/>
      <c r="BZ15" s="118"/>
      <c r="CA15" s="118"/>
      <c r="CB15" s="118"/>
      <c r="CC15" s="118"/>
      <c r="CD15" s="118"/>
      <c r="CE15" s="115"/>
      <c r="CF15" s="118"/>
      <c r="CG15" s="118"/>
      <c r="CH15" s="118"/>
      <c r="CI15" s="118"/>
      <c r="CJ15" s="118"/>
      <c r="CK15" s="118"/>
      <c r="CL15" s="115"/>
      <c r="CM15" s="147"/>
      <c r="CN15" s="165"/>
    </row>
    <row r="16" spans="1:92" ht="18" customHeight="1" x14ac:dyDescent="0.25">
      <c r="A16" s="181">
        <v>11</v>
      </c>
      <c r="B16" s="118" t="s">
        <v>293</v>
      </c>
      <c r="C16" s="118"/>
      <c r="D16" s="118"/>
      <c r="E16" s="118"/>
      <c r="F16" s="115"/>
      <c r="G16" s="118"/>
      <c r="H16" s="118"/>
      <c r="I16" s="118"/>
      <c r="J16" s="115"/>
      <c r="K16" s="118"/>
      <c r="L16" s="118"/>
      <c r="M16" s="115"/>
      <c r="N16" s="118"/>
      <c r="O16" s="118"/>
      <c r="P16" s="118"/>
      <c r="Q16" s="131"/>
      <c r="R16" s="143"/>
      <c r="S16" s="116"/>
      <c r="T16" s="115"/>
      <c r="U16" s="116"/>
      <c r="V16" s="116"/>
      <c r="W16" s="118"/>
      <c r="X16" s="118"/>
      <c r="Y16" s="118"/>
      <c r="Z16" s="118"/>
      <c r="AA16" s="115"/>
      <c r="AB16" s="118"/>
      <c r="AC16" s="118"/>
      <c r="AD16" s="118"/>
      <c r="AE16" s="118"/>
      <c r="AF16" s="118"/>
      <c r="AG16" s="118"/>
      <c r="AH16" s="115"/>
      <c r="AI16" s="118"/>
      <c r="AJ16" s="118"/>
      <c r="AK16" s="118"/>
      <c r="AL16" s="118"/>
      <c r="AM16" s="115"/>
      <c r="AN16" s="118"/>
      <c r="AO16" s="115"/>
      <c r="AP16" s="118"/>
      <c r="AQ16" s="118"/>
      <c r="AR16" s="118"/>
      <c r="AS16" s="118"/>
      <c r="AT16" s="118"/>
      <c r="AU16" s="118"/>
      <c r="AV16" s="115"/>
      <c r="AW16" s="118"/>
      <c r="AX16" s="118"/>
      <c r="AY16" s="118"/>
      <c r="AZ16" s="128"/>
      <c r="BA16" s="128"/>
      <c r="BB16" s="128"/>
      <c r="BC16" s="115"/>
      <c r="BD16" s="128"/>
      <c r="BE16" s="128"/>
      <c r="BF16" s="128"/>
      <c r="BG16" s="128"/>
      <c r="BH16" s="128"/>
      <c r="BI16" s="149"/>
      <c r="BJ16" s="165"/>
      <c r="BK16" s="153"/>
      <c r="BL16" s="118"/>
      <c r="BM16" s="118"/>
      <c r="BN16" s="118"/>
      <c r="BO16" s="118"/>
      <c r="BP16" s="118"/>
      <c r="BQ16" s="115"/>
      <c r="BR16" s="118"/>
      <c r="BS16" s="118"/>
      <c r="BT16" s="118"/>
      <c r="BU16" s="118"/>
      <c r="BV16" s="118"/>
      <c r="BW16" s="118"/>
      <c r="BX16" s="115"/>
      <c r="BY16" s="118"/>
      <c r="BZ16" s="118"/>
      <c r="CA16" s="118"/>
      <c r="CB16" s="118"/>
      <c r="CC16" s="118"/>
      <c r="CD16" s="118"/>
      <c r="CE16" s="115"/>
      <c r="CF16" s="118"/>
      <c r="CG16" s="118"/>
      <c r="CH16" s="118"/>
      <c r="CI16" s="118"/>
      <c r="CJ16" s="118"/>
      <c r="CK16" s="118"/>
      <c r="CL16" s="115"/>
      <c r="CM16" s="147"/>
      <c r="CN16" s="165"/>
    </row>
    <row r="17" spans="1:92" ht="18" customHeight="1" x14ac:dyDescent="0.25">
      <c r="A17" s="181">
        <v>12</v>
      </c>
      <c r="B17" s="118" t="s">
        <v>272</v>
      </c>
      <c r="C17" s="118"/>
      <c r="D17" s="118"/>
      <c r="E17" s="118"/>
      <c r="F17" s="115"/>
      <c r="G17" s="118"/>
      <c r="H17" s="118"/>
      <c r="I17" s="118"/>
      <c r="J17" s="115"/>
      <c r="K17" s="118"/>
      <c r="L17" s="118"/>
      <c r="M17" s="115"/>
      <c r="N17" s="118"/>
      <c r="O17" s="118"/>
      <c r="P17" s="118"/>
      <c r="Q17" s="118"/>
      <c r="R17" s="116"/>
      <c r="S17" s="143"/>
      <c r="T17" s="115"/>
      <c r="U17" s="116"/>
      <c r="V17" s="116"/>
      <c r="W17" s="116"/>
      <c r="X17" s="118"/>
      <c r="Y17" s="118"/>
      <c r="Z17" s="118"/>
      <c r="AA17" s="115"/>
      <c r="AB17" s="118"/>
      <c r="AC17" s="118"/>
      <c r="AD17" s="118"/>
      <c r="AE17" s="118"/>
      <c r="AF17" s="118"/>
      <c r="AG17" s="118"/>
      <c r="AH17" s="115"/>
      <c r="AI17" s="118"/>
      <c r="AJ17" s="118"/>
      <c r="AK17" s="118"/>
      <c r="AL17" s="118"/>
      <c r="AM17" s="115"/>
      <c r="AN17" s="118"/>
      <c r="AO17" s="115"/>
      <c r="AP17" s="118"/>
      <c r="AQ17" s="118"/>
      <c r="AR17" s="118"/>
      <c r="AS17" s="118"/>
      <c r="AT17" s="118"/>
      <c r="AU17" s="118"/>
      <c r="AV17" s="115"/>
      <c r="AW17" s="118"/>
      <c r="AX17" s="118"/>
      <c r="AY17" s="118"/>
      <c r="AZ17" s="118"/>
      <c r="BA17" s="118"/>
      <c r="BB17" s="118"/>
      <c r="BC17" s="115"/>
      <c r="BD17" s="118"/>
      <c r="BE17" s="118"/>
      <c r="BF17" s="118"/>
      <c r="BG17" s="118"/>
      <c r="BH17" s="118"/>
      <c r="BI17" s="148"/>
      <c r="BJ17" s="165"/>
      <c r="BK17" s="153"/>
      <c r="BL17" s="118"/>
      <c r="BM17" s="118"/>
      <c r="BN17" s="118"/>
      <c r="BO17" s="118"/>
      <c r="BP17" s="118"/>
      <c r="BQ17" s="115"/>
      <c r="BR17" s="118"/>
      <c r="BS17" s="118"/>
      <c r="BT17" s="118"/>
      <c r="BU17" s="118"/>
      <c r="BV17" s="118"/>
      <c r="BW17" s="118"/>
      <c r="BX17" s="115"/>
      <c r="BY17" s="118"/>
      <c r="BZ17" s="118"/>
      <c r="CA17" s="118"/>
      <c r="CB17" s="118"/>
      <c r="CC17" s="118"/>
      <c r="CD17" s="118"/>
      <c r="CE17" s="115"/>
      <c r="CF17" s="118"/>
      <c r="CG17" s="118"/>
      <c r="CH17" s="118"/>
      <c r="CI17" s="118"/>
      <c r="CJ17" s="118"/>
      <c r="CK17" s="118"/>
      <c r="CL17" s="115"/>
      <c r="CM17" s="147"/>
      <c r="CN17" s="165"/>
    </row>
    <row r="18" spans="1:92" ht="18" customHeight="1" x14ac:dyDescent="0.25">
      <c r="A18" s="181">
        <v>13</v>
      </c>
      <c r="B18" s="118" t="s">
        <v>271</v>
      </c>
      <c r="C18" s="118"/>
      <c r="D18" s="118"/>
      <c r="E18" s="118"/>
      <c r="F18" s="115"/>
      <c r="G18" s="118"/>
      <c r="H18" s="118"/>
      <c r="I18" s="118"/>
      <c r="J18" s="115"/>
      <c r="K18" s="118"/>
      <c r="L18" s="118"/>
      <c r="M18" s="115"/>
      <c r="N18" s="118"/>
      <c r="O18" s="118"/>
      <c r="P18" s="118"/>
      <c r="Q18" s="118"/>
      <c r="R18" s="116"/>
      <c r="S18" s="143"/>
      <c r="T18" s="115"/>
      <c r="U18" s="116"/>
      <c r="V18" s="116"/>
      <c r="W18" s="116"/>
      <c r="X18" s="118"/>
      <c r="Y18" s="118"/>
      <c r="Z18" s="118"/>
      <c r="AA18" s="115"/>
      <c r="AB18" s="118"/>
      <c r="AC18" s="118"/>
      <c r="AD18" s="118"/>
      <c r="AE18" s="118"/>
      <c r="AF18" s="118"/>
      <c r="AG18" s="118"/>
      <c r="AH18" s="115"/>
      <c r="AI18" s="118"/>
      <c r="AJ18" s="118"/>
      <c r="AK18" s="118"/>
      <c r="AL18" s="118"/>
      <c r="AM18" s="115"/>
      <c r="AN18" s="118"/>
      <c r="AO18" s="115"/>
      <c r="AP18" s="118"/>
      <c r="AQ18" s="118"/>
      <c r="AR18" s="118"/>
      <c r="AS18" s="118"/>
      <c r="AT18" s="118"/>
      <c r="AU18" s="118"/>
      <c r="AV18" s="115"/>
      <c r="AW18" s="118"/>
      <c r="AX18" s="118"/>
      <c r="AY18" s="118"/>
      <c r="AZ18" s="118"/>
      <c r="BA18" s="118"/>
      <c r="BB18" s="118"/>
      <c r="BC18" s="115"/>
      <c r="BD18" s="118"/>
      <c r="BE18" s="118"/>
      <c r="BF18" s="118"/>
      <c r="BG18" s="118"/>
      <c r="BH18" s="118"/>
      <c r="BI18" s="147"/>
      <c r="BJ18" s="165"/>
      <c r="BK18" s="154"/>
      <c r="BL18" s="128"/>
      <c r="BM18" s="128"/>
      <c r="BN18" s="118"/>
      <c r="BO18" s="118"/>
      <c r="BP18" s="118"/>
      <c r="BQ18" s="115"/>
      <c r="BR18" s="118"/>
      <c r="BS18" s="118"/>
      <c r="BT18" s="118"/>
      <c r="BU18" s="118"/>
      <c r="BV18" s="118"/>
      <c r="BW18" s="118"/>
      <c r="BX18" s="115"/>
      <c r="BY18" s="118"/>
      <c r="BZ18" s="118"/>
      <c r="CA18" s="118"/>
      <c r="CB18" s="118"/>
      <c r="CC18" s="118"/>
      <c r="CD18" s="118"/>
      <c r="CE18" s="115"/>
      <c r="CF18" s="118"/>
      <c r="CG18" s="118"/>
      <c r="CH18" s="118"/>
      <c r="CI18" s="118"/>
      <c r="CJ18" s="118"/>
      <c r="CK18" s="118"/>
      <c r="CL18" s="115"/>
      <c r="CM18" s="147"/>
      <c r="CN18" s="165"/>
    </row>
    <row r="19" spans="1:92" ht="18" customHeight="1" x14ac:dyDescent="0.25">
      <c r="A19" s="181">
        <v>14</v>
      </c>
      <c r="B19" s="118" t="s">
        <v>278</v>
      </c>
      <c r="C19" s="118"/>
      <c r="D19" s="118"/>
      <c r="E19" s="118"/>
      <c r="F19" s="115"/>
      <c r="G19" s="118"/>
      <c r="H19" s="118"/>
      <c r="I19" s="118"/>
      <c r="J19" s="115"/>
      <c r="K19" s="118"/>
      <c r="L19" s="118"/>
      <c r="M19" s="115"/>
      <c r="N19" s="118"/>
      <c r="O19" s="118"/>
      <c r="P19" s="118"/>
      <c r="Q19" s="118"/>
      <c r="R19" s="118"/>
      <c r="S19" s="118"/>
      <c r="T19" s="115"/>
      <c r="U19" s="143"/>
      <c r="V19" s="143"/>
      <c r="W19" s="143"/>
      <c r="X19" s="116"/>
      <c r="Y19" s="118"/>
      <c r="Z19" s="118"/>
      <c r="AA19" s="115"/>
      <c r="AB19" s="118"/>
      <c r="AC19" s="118"/>
      <c r="AD19" s="118"/>
      <c r="AE19" s="118"/>
      <c r="AF19" s="118"/>
      <c r="AG19" s="118"/>
      <c r="AH19" s="115"/>
      <c r="AI19" s="118"/>
      <c r="AJ19" s="118"/>
      <c r="AK19" s="118"/>
      <c r="AL19" s="118"/>
      <c r="AM19" s="115"/>
      <c r="AN19" s="118"/>
      <c r="AO19" s="115"/>
      <c r="AP19" s="118"/>
      <c r="AQ19" s="118"/>
      <c r="AR19" s="118"/>
      <c r="AS19" s="118"/>
      <c r="AT19" s="118"/>
      <c r="AU19" s="118"/>
      <c r="AV19" s="115"/>
      <c r="AW19" s="118"/>
      <c r="AX19" s="118"/>
      <c r="AY19" s="118"/>
      <c r="AZ19" s="118"/>
      <c r="BA19" s="118"/>
      <c r="BB19" s="118"/>
      <c r="BC19" s="115"/>
      <c r="BD19" s="118"/>
      <c r="BE19" s="118"/>
      <c r="BF19" s="118"/>
      <c r="BG19" s="118"/>
      <c r="BH19" s="118"/>
      <c r="BI19" s="147"/>
      <c r="BJ19" s="165"/>
      <c r="BK19" s="153"/>
      <c r="BL19" s="118"/>
      <c r="BM19" s="118"/>
      <c r="BN19" s="118"/>
      <c r="BO19" s="118"/>
      <c r="BP19" s="118"/>
      <c r="BQ19" s="115"/>
      <c r="BR19" s="118"/>
      <c r="BS19" s="118"/>
      <c r="BT19" s="118"/>
      <c r="BU19" s="118"/>
      <c r="BV19" s="118"/>
      <c r="BW19" s="118"/>
      <c r="BX19" s="115"/>
      <c r="BY19" s="118"/>
      <c r="BZ19" s="118"/>
      <c r="CA19" s="118"/>
      <c r="CB19" s="118"/>
      <c r="CC19" s="118"/>
      <c r="CD19" s="118"/>
      <c r="CE19" s="115"/>
      <c r="CF19" s="118"/>
      <c r="CG19" s="118"/>
      <c r="CH19" s="118"/>
      <c r="CI19" s="118"/>
      <c r="CJ19" s="118"/>
      <c r="CK19" s="118"/>
      <c r="CL19" s="115"/>
      <c r="CM19" s="147"/>
      <c r="CN19" s="165"/>
    </row>
    <row r="20" spans="1:92" ht="18" customHeight="1" x14ac:dyDescent="0.25">
      <c r="A20" s="181">
        <v>15</v>
      </c>
      <c r="B20" s="118" t="s">
        <v>279</v>
      </c>
      <c r="C20" s="118"/>
      <c r="D20" s="118"/>
      <c r="E20" s="118"/>
      <c r="F20" s="115"/>
      <c r="G20" s="118"/>
      <c r="H20" s="118"/>
      <c r="I20" s="118"/>
      <c r="J20" s="115"/>
      <c r="K20" s="118"/>
      <c r="L20" s="118"/>
      <c r="M20" s="115"/>
      <c r="N20" s="118"/>
      <c r="O20" s="118"/>
      <c r="P20" s="118"/>
      <c r="Q20" s="118"/>
      <c r="R20" s="118"/>
      <c r="S20" s="118"/>
      <c r="T20" s="115"/>
      <c r="U20" s="118"/>
      <c r="V20" s="118"/>
      <c r="W20" s="118"/>
      <c r="X20" s="131"/>
      <c r="Y20" s="143"/>
      <c r="Z20" s="116"/>
      <c r="AA20" s="115"/>
      <c r="AB20" s="116"/>
      <c r="AC20" s="116"/>
      <c r="AD20" s="118"/>
      <c r="AE20" s="118"/>
      <c r="AF20" s="118"/>
      <c r="AG20" s="118"/>
      <c r="AH20" s="115"/>
      <c r="AI20" s="118"/>
      <c r="AJ20" s="118"/>
      <c r="AK20" s="118"/>
      <c r="AL20" s="118"/>
      <c r="AM20" s="115"/>
      <c r="AN20" s="118"/>
      <c r="AO20" s="115"/>
      <c r="AP20" s="118"/>
      <c r="AQ20" s="118"/>
      <c r="AR20" s="118"/>
      <c r="AS20" s="118"/>
      <c r="AT20" s="118"/>
      <c r="AU20" s="118"/>
      <c r="AV20" s="115"/>
      <c r="AW20" s="118"/>
      <c r="AX20" s="118"/>
      <c r="AY20" s="118"/>
      <c r="AZ20" s="118"/>
      <c r="BA20" s="118"/>
      <c r="BB20" s="118"/>
      <c r="BC20" s="115"/>
      <c r="BD20" s="118"/>
      <c r="BE20" s="118"/>
      <c r="BF20" s="118"/>
      <c r="BG20" s="118"/>
      <c r="BH20" s="118"/>
      <c r="BI20" s="147"/>
      <c r="BJ20" s="165"/>
      <c r="BK20" s="153"/>
      <c r="BL20" s="118"/>
      <c r="BM20" s="118"/>
      <c r="BN20" s="118"/>
      <c r="BO20" s="118"/>
      <c r="BP20" s="118"/>
      <c r="BQ20" s="115"/>
      <c r="BR20" s="130"/>
      <c r="BS20" s="130"/>
      <c r="BT20" s="130"/>
      <c r="BU20" s="130"/>
      <c r="BV20" s="130"/>
      <c r="BW20" s="130"/>
      <c r="BX20" s="115"/>
      <c r="BY20" s="130"/>
      <c r="BZ20" s="118"/>
      <c r="CA20" s="118"/>
      <c r="CB20" s="118"/>
      <c r="CC20" s="118"/>
      <c r="CD20" s="118"/>
      <c r="CE20" s="115"/>
      <c r="CF20" s="118"/>
      <c r="CG20" s="118"/>
      <c r="CH20" s="118"/>
      <c r="CI20" s="118"/>
      <c r="CJ20" s="118"/>
      <c r="CK20" s="118"/>
      <c r="CL20" s="115"/>
      <c r="CM20" s="147"/>
      <c r="CN20" s="165"/>
    </row>
    <row r="21" spans="1:92" ht="18" customHeight="1" x14ac:dyDescent="0.25">
      <c r="A21" s="181">
        <v>16</v>
      </c>
      <c r="B21" s="118" t="s">
        <v>280</v>
      </c>
      <c r="C21" s="118"/>
      <c r="D21" s="118"/>
      <c r="E21" s="118"/>
      <c r="F21" s="115"/>
      <c r="G21" s="118"/>
      <c r="H21" s="118"/>
      <c r="I21" s="118"/>
      <c r="J21" s="115"/>
      <c r="K21" s="118"/>
      <c r="L21" s="118"/>
      <c r="M21" s="115"/>
      <c r="N21" s="118"/>
      <c r="O21" s="118"/>
      <c r="P21" s="118"/>
      <c r="Q21" s="118"/>
      <c r="R21" s="118"/>
      <c r="S21" s="118"/>
      <c r="T21" s="115"/>
      <c r="U21" s="118"/>
      <c r="V21" s="118"/>
      <c r="W21" s="118"/>
      <c r="X21" s="118"/>
      <c r="Y21" s="118"/>
      <c r="Z21" s="118"/>
      <c r="AA21" s="115"/>
      <c r="AB21" s="131"/>
      <c r="AC21" s="143"/>
      <c r="AD21" s="116"/>
      <c r="AE21" s="150"/>
      <c r="AF21" s="116"/>
      <c r="AG21" s="118"/>
      <c r="AH21" s="115"/>
      <c r="AI21" s="118"/>
      <c r="AJ21" s="118"/>
      <c r="AK21" s="118"/>
      <c r="AL21" s="118"/>
      <c r="AM21" s="115"/>
      <c r="AN21" s="118"/>
      <c r="AO21" s="115"/>
      <c r="AP21" s="118"/>
      <c r="AQ21" s="118"/>
      <c r="AR21" s="118"/>
      <c r="AS21" s="118"/>
      <c r="AT21" s="118"/>
      <c r="AU21" s="118"/>
      <c r="AV21" s="115"/>
      <c r="AW21" s="118"/>
      <c r="AX21" s="118"/>
      <c r="AY21" s="118"/>
      <c r="AZ21" s="118"/>
      <c r="BA21" s="118"/>
      <c r="BB21" s="118"/>
      <c r="BC21" s="115"/>
      <c r="BD21" s="118"/>
      <c r="BE21" s="118"/>
      <c r="BF21" s="118"/>
      <c r="BG21" s="118"/>
      <c r="BH21" s="118"/>
      <c r="BI21" s="147"/>
      <c r="BJ21" s="165"/>
      <c r="BK21" s="153"/>
      <c r="BL21" s="118"/>
      <c r="BM21" s="118"/>
      <c r="BN21" s="118"/>
      <c r="BO21" s="118"/>
      <c r="BP21" s="118"/>
      <c r="BQ21" s="115"/>
      <c r="BR21" s="118"/>
      <c r="BS21" s="118"/>
      <c r="BT21" s="118"/>
      <c r="BU21" s="118"/>
      <c r="BV21" s="118"/>
      <c r="BW21" s="118"/>
      <c r="BX21" s="115"/>
      <c r="BY21" s="118"/>
      <c r="BZ21" s="118"/>
      <c r="CA21" s="118"/>
      <c r="CB21" s="118"/>
      <c r="CC21" s="128"/>
      <c r="CD21" s="118"/>
      <c r="CE21" s="115"/>
      <c r="CF21" s="118"/>
      <c r="CG21" s="118"/>
      <c r="CH21" s="118"/>
      <c r="CI21" s="118"/>
      <c r="CJ21" s="118"/>
      <c r="CK21" s="118"/>
      <c r="CL21" s="115"/>
      <c r="CM21" s="147"/>
      <c r="CN21" s="165"/>
    </row>
    <row r="22" spans="1:92" ht="18" customHeight="1" x14ac:dyDescent="0.25">
      <c r="A22" s="181">
        <v>17</v>
      </c>
      <c r="B22" s="118" t="s">
        <v>281</v>
      </c>
      <c r="C22" s="118"/>
      <c r="D22" s="118"/>
      <c r="E22" s="118"/>
      <c r="F22" s="115"/>
      <c r="G22" s="118"/>
      <c r="H22" s="118"/>
      <c r="I22" s="118"/>
      <c r="J22" s="115"/>
      <c r="K22" s="118"/>
      <c r="L22" s="118"/>
      <c r="M22" s="115"/>
      <c r="N22" s="118"/>
      <c r="O22" s="118"/>
      <c r="P22" s="118"/>
      <c r="Q22" s="118"/>
      <c r="R22" s="118"/>
      <c r="S22" s="118"/>
      <c r="T22" s="115"/>
      <c r="U22" s="118"/>
      <c r="V22" s="118"/>
      <c r="W22" s="118"/>
      <c r="X22" s="118"/>
      <c r="Y22" s="118"/>
      <c r="Z22" s="118"/>
      <c r="AA22" s="115"/>
      <c r="AB22" s="118"/>
      <c r="AC22" s="118"/>
      <c r="AD22" s="118"/>
      <c r="AE22" s="147"/>
      <c r="AF22" s="116"/>
      <c r="AG22" s="116"/>
      <c r="AH22" s="115"/>
      <c r="AI22" s="118"/>
      <c r="AJ22" s="118"/>
      <c r="AK22" s="118"/>
      <c r="AL22" s="118"/>
      <c r="AM22" s="115"/>
      <c r="AN22" s="118"/>
      <c r="AO22" s="115"/>
      <c r="AP22" s="118"/>
      <c r="AQ22" s="118"/>
      <c r="AR22" s="118"/>
      <c r="AS22" s="118"/>
      <c r="AT22" s="118"/>
      <c r="AU22" s="118"/>
      <c r="AV22" s="115"/>
      <c r="AW22" s="118"/>
      <c r="AX22" s="118"/>
      <c r="AY22" s="118"/>
      <c r="AZ22" s="118"/>
      <c r="BA22" s="118"/>
      <c r="BB22" s="118"/>
      <c r="BC22" s="115"/>
      <c r="BD22" s="118"/>
      <c r="BE22" s="118"/>
      <c r="BF22" s="118"/>
      <c r="BG22" s="118"/>
      <c r="BH22" s="118"/>
      <c r="BI22" s="147"/>
      <c r="BJ22" s="165"/>
      <c r="BK22" s="153"/>
      <c r="BL22" s="118"/>
      <c r="BM22" s="118"/>
      <c r="BN22" s="118"/>
      <c r="BO22" s="118"/>
      <c r="BP22" s="118"/>
      <c r="BQ22" s="115"/>
      <c r="BR22" s="118"/>
      <c r="BS22" s="118"/>
      <c r="BT22" s="118"/>
      <c r="BU22" s="118"/>
      <c r="BV22" s="118"/>
      <c r="BW22" s="118"/>
      <c r="BX22" s="115"/>
      <c r="BY22" s="118"/>
      <c r="BZ22" s="118"/>
      <c r="CA22" s="118"/>
      <c r="CB22" s="118"/>
      <c r="CC22" s="118"/>
      <c r="CD22" s="119"/>
      <c r="CE22" s="115"/>
      <c r="CF22" s="119"/>
      <c r="CG22" s="118"/>
      <c r="CH22" s="118"/>
      <c r="CI22" s="118"/>
      <c r="CJ22" s="118"/>
      <c r="CK22" s="118"/>
      <c r="CL22" s="115"/>
      <c r="CM22" s="147"/>
      <c r="CN22" s="165"/>
    </row>
    <row r="23" spans="1:92" ht="18" customHeight="1" x14ac:dyDescent="0.25">
      <c r="A23" s="181">
        <v>18</v>
      </c>
      <c r="B23" s="118" t="s">
        <v>282</v>
      </c>
      <c r="C23" s="118"/>
      <c r="D23" s="118"/>
      <c r="E23" s="118"/>
      <c r="F23" s="115"/>
      <c r="G23" s="118"/>
      <c r="H23" s="118"/>
      <c r="I23" s="118"/>
      <c r="J23" s="115"/>
      <c r="K23" s="118"/>
      <c r="L23" s="118"/>
      <c r="M23" s="115"/>
      <c r="N23" s="118"/>
      <c r="O23" s="118"/>
      <c r="P23" s="118"/>
      <c r="Q23" s="118"/>
      <c r="R23" s="118"/>
      <c r="S23" s="118"/>
      <c r="T23" s="115"/>
      <c r="U23" s="118"/>
      <c r="V23" s="118"/>
      <c r="W23" s="118"/>
      <c r="X23" s="118"/>
      <c r="Y23" s="118"/>
      <c r="Z23" s="118"/>
      <c r="AA23" s="115"/>
      <c r="AB23" s="118"/>
      <c r="AC23" s="118"/>
      <c r="AD23" s="131"/>
      <c r="AE23" s="34"/>
      <c r="AF23" s="131"/>
      <c r="AG23" s="116"/>
      <c r="AH23" s="115"/>
      <c r="AI23" s="116"/>
      <c r="AJ23" s="116"/>
      <c r="AK23" s="118"/>
      <c r="AL23" s="118"/>
      <c r="AM23" s="115"/>
      <c r="AN23" s="118"/>
      <c r="AO23" s="115"/>
      <c r="AP23" s="118"/>
      <c r="AQ23" s="118"/>
      <c r="AR23" s="118"/>
      <c r="AS23" s="118"/>
      <c r="AT23" s="118"/>
      <c r="AU23" s="118"/>
      <c r="AV23" s="115"/>
      <c r="AW23" s="118"/>
      <c r="AX23" s="118"/>
      <c r="AY23" s="118"/>
      <c r="AZ23" s="118"/>
      <c r="BA23" s="118"/>
      <c r="BB23" s="118"/>
      <c r="BC23" s="115"/>
      <c r="BD23" s="118"/>
      <c r="BE23" s="118"/>
      <c r="BF23" s="118"/>
      <c r="BG23" s="118"/>
      <c r="BH23" s="118"/>
      <c r="BI23" s="147"/>
      <c r="BJ23" s="165"/>
      <c r="BK23" s="153"/>
      <c r="BL23" s="118"/>
      <c r="BM23" s="118"/>
      <c r="BN23" s="118"/>
      <c r="BO23" s="118"/>
      <c r="BP23" s="118"/>
      <c r="BQ23" s="115"/>
      <c r="BR23" s="118"/>
      <c r="BS23" s="118"/>
      <c r="BT23" s="118"/>
      <c r="BU23" s="118"/>
      <c r="BV23" s="118"/>
      <c r="BW23" s="118"/>
      <c r="BX23" s="115"/>
      <c r="BY23" s="118"/>
      <c r="BZ23" s="118"/>
      <c r="CA23" s="118"/>
      <c r="CB23" s="118"/>
      <c r="CC23" s="118"/>
      <c r="CD23" s="119"/>
      <c r="CE23" s="115"/>
      <c r="CF23" s="119"/>
      <c r="CG23" s="118"/>
      <c r="CH23" s="118"/>
      <c r="CI23" s="118"/>
      <c r="CJ23" s="118"/>
      <c r="CK23" s="118"/>
      <c r="CL23" s="115"/>
      <c r="CM23" s="147"/>
      <c r="CN23" s="165"/>
    </row>
    <row r="24" spans="1:92" ht="18" customHeight="1" x14ac:dyDescent="0.25">
      <c r="A24" s="181">
        <v>19</v>
      </c>
      <c r="B24" s="118" t="s">
        <v>283</v>
      </c>
      <c r="C24" s="118"/>
      <c r="D24" s="118"/>
      <c r="E24" s="118"/>
      <c r="F24" s="115"/>
      <c r="G24" s="118"/>
      <c r="H24" s="118"/>
      <c r="I24" s="118"/>
      <c r="J24" s="115"/>
      <c r="K24" s="118"/>
      <c r="L24" s="118"/>
      <c r="M24" s="115"/>
      <c r="N24" s="118"/>
      <c r="O24" s="118"/>
      <c r="P24" s="118"/>
      <c r="Q24" s="118"/>
      <c r="R24" s="118"/>
      <c r="S24" s="118"/>
      <c r="T24" s="115"/>
      <c r="U24" s="118"/>
      <c r="V24" s="118"/>
      <c r="W24" s="118"/>
      <c r="X24" s="118"/>
      <c r="Y24" s="118"/>
      <c r="Z24" s="118"/>
      <c r="AA24" s="115"/>
      <c r="AB24" s="118"/>
      <c r="AC24" s="118"/>
      <c r="AD24" s="118"/>
      <c r="AE24" s="147"/>
      <c r="AF24" s="131"/>
      <c r="AG24" s="131"/>
      <c r="AH24" s="115"/>
      <c r="AI24" s="116"/>
      <c r="AJ24" s="116"/>
      <c r="AK24" s="143"/>
      <c r="AL24" s="143"/>
      <c r="AM24" s="115"/>
      <c r="AN24" s="118"/>
      <c r="AO24" s="115"/>
      <c r="AP24" s="118"/>
      <c r="AQ24" s="118"/>
      <c r="AR24" s="118"/>
      <c r="AS24" s="118"/>
      <c r="AT24" s="118"/>
      <c r="AU24" s="118"/>
      <c r="AV24" s="115"/>
      <c r="AW24" s="118"/>
      <c r="AX24" s="118"/>
      <c r="AY24" s="118"/>
      <c r="AZ24" s="118"/>
      <c r="BA24" s="118"/>
      <c r="BB24" s="118"/>
      <c r="BC24" s="115"/>
      <c r="BD24" s="118"/>
      <c r="BE24" s="118"/>
      <c r="BF24" s="118"/>
      <c r="BG24" s="118"/>
      <c r="BH24" s="118"/>
      <c r="BI24" s="147"/>
      <c r="BJ24" s="165"/>
      <c r="BK24" s="153"/>
      <c r="BL24" s="118"/>
      <c r="BM24" s="118"/>
      <c r="BN24" s="118"/>
      <c r="BO24" s="118"/>
      <c r="BP24" s="118"/>
      <c r="BQ24" s="115"/>
      <c r="BR24" s="118"/>
      <c r="BS24" s="118"/>
      <c r="BT24" s="118"/>
      <c r="BU24" s="118"/>
      <c r="BV24" s="118"/>
      <c r="BW24" s="118"/>
      <c r="BX24" s="115"/>
      <c r="BY24" s="118"/>
      <c r="BZ24" s="118"/>
      <c r="CA24" s="118"/>
      <c r="CB24" s="118"/>
      <c r="CC24" s="118"/>
      <c r="CD24" s="119"/>
      <c r="CE24" s="115"/>
      <c r="CF24" s="119"/>
      <c r="CG24" s="118"/>
      <c r="CH24" s="118"/>
      <c r="CI24" s="118"/>
      <c r="CJ24" s="118"/>
      <c r="CK24" s="118"/>
      <c r="CL24" s="115"/>
      <c r="CM24" s="147"/>
      <c r="CN24" s="165"/>
    </row>
    <row r="25" spans="1:92" ht="18" customHeight="1" x14ac:dyDescent="0.25">
      <c r="A25" s="181">
        <v>20</v>
      </c>
      <c r="B25" s="118" t="s">
        <v>284</v>
      </c>
      <c r="C25" s="118"/>
      <c r="D25" s="118"/>
      <c r="E25" s="118"/>
      <c r="F25" s="115"/>
      <c r="G25" s="118"/>
      <c r="H25" s="118"/>
      <c r="I25" s="118"/>
      <c r="J25" s="115"/>
      <c r="K25" s="118"/>
      <c r="L25" s="118"/>
      <c r="M25" s="115"/>
      <c r="N25" s="118"/>
      <c r="O25" s="118"/>
      <c r="P25" s="118"/>
      <c r="Q25" s="118"/>
      <c r="R25" s="118"/>
      <c r="S25" s="118"/>
      <c r="T25" s="115"/>
      <c r="U25" s="118"/>
      <c r="V25" s="118"/>
      <c r="W25" s="118"/>
      <c r="X25" s="118"/>
      <c r="Y25" s="118"/>
      <c r="Z25" s="118"/>
      <c r="AA25" s="115"/>
      <c r="AB25" s="118"/>
      <c r="AC25" s="118"/>
      <c r="AD25" s="118"/>
      <c r="AE25" s="147"/>
      <c r="AF25" s="118"/>
      <c r="AG25" s="118"/>
      <c r="AH25" s="115"/>
      <c r="AI25" s="118"/>
      <c r="AJ25" s="118"/>
      <c r="AK25" s="118"/>
      <c r="AL25" s="118"/>
      <c r="AM25" s="115"/>
      <c r="AN25" s="118"/>
      <c r="AO25" s="115"/>
      <c r="AP25" s="118"/>
      <c r="AQ25" s="118"/>
      <c r="AR25" s="118"/>
      <c r="AS25" s="118"/>
      <c r="AT25" s="118"/>
      <c r="AU25" s="118"/>
      <c r="AV25" s="115"/>
      <c r="AW25" s="118"/>
      <c r="AX25" s="118"/>
      <c r="AY25" s="118"/>
      <c r="AZ25" s="118"/>
      <c r="BA25" s="118"/>
      <c r="BB25" s="118"/>
      <c r="BC25" s="115"/>
      <c r="BD25" s="118"/>
      <c r="BE25" s="118"/>
      <c r="BF25" s="118"/>
      <c r="BG25" s="118"/>
      <c r="BH25" s="118"/>
      <c r="BI25" s="147"/>
      <c r="BJ25" s="165"/>
      <c r="BK25" s="153"/>
      <c r="BL25" s="118"/>
      <c r="BM25" s="118"/>
      <c r="BN25" s="118"/>
      <c r="BO25" s="118"/>
      <c r="BP25" s="118"/>
      <c r="BQ25" s="115"/>
      <c r="BR25" s="118"/>
      <c r="BS25" s="118"/>
      <c r="BT25" s="118"/>
      <c r="BU25" s="118"/>
      <c r="BV25" s="118"/>
      <c r="BW25" s="118"/>
      <c r="BX25" s="115"/>
      <c r="BY25" s="118"/>
      <c r="BZ25" s="118"/>
      <c r="CA25" s="118"/>
      <c r="CB25" s="118"/>
      <c r="CC25" s="118"/>
      <c r="CD25" s="119"/>
      <c r="CE25" s="115"/>
      <c r="CF25" s="119"/>
      <c r="CG25" s="118"/>
      <c r="CH25" s="118"/>
      <c r="CI25" s="118"/>
      <c r="CJ25" s="118"/>
      <c r="CK25" s="118"/>
      <c r="CL25" s="115"/>
      <c r="CM25" s="147"/>
      <c r="CN25" s="165"/>
    </row>
    <row r="26" spans="1:92" ht="18" customHeight="1" x14ac:dyDescent="0.25">
      <c r="A26" s="181">
        <v>21</v>
      </c>
      <c r="B26" s="118" t="s">
        <v>49</v>
      </c>
      <c r="C26" s="118"/>
      <c r="D26" s="118"/>
      <c r="E26" s="118"/>
      <c r="F26" s="115"/>
      <c r="G26" s="118"/>
      <c r="H26" s="118"/>
      <c r="I26" s="118"/>
      <c r="J26" s="115"/>
      <c r="K26" s="118"/>
      <c r="L26" s="118"/>
      <c r="M26" s="115"/>
      <c r="N26" s="118"/>
      <c r="O26" s="118"/>
      <c r="P26" s="118"/>
      <c r="Q26" s="118"/>
      <c r="R26" s="118"/>
      <c r="S26" s="118"/>
      <c r="T26" s="115"/>
      <c r="U26" s="118"/>
      <c r="V26" s="118"/>
      <c r="W26" s="118"/>
      <c r="X26" s="118"/>
      <c r="Y26" s="118"/>
      <c r="Z26" s="118"/>
      <c r="AA26" s="115"/>
      <c r="AB26" s="118"/>
      <c r="AC26" s="118"/>
      <c r="AD26" s="118"/>
      <c r="AE26" s="118"/>
      <c r="AF26" s="118"/>
      <c r="AG26" s="118"/>
      <c r="AH26" s="115"/>
      <c r="AI26" s="131"/>
      <c r="AJ26" s="131"/>
      <c r="AK26" s="118"/>
      <c r="AL26" s="118"/>
      <c r="AM26" s="115"/>
      <c r="AN26" s="118"/>
      <c r="AO26" s="115"/>
      <c r="AP26" s="118"/>
      <c r="AQ26" s="118"/>
      <c r="AR26" s="118"/>
      <c r="AS26" s="118"/>
      <c r="AT26" s="118"/>
      <c r="AU26" s="118"/>
      <c r="AV26" s="115"/>
      <c r="AW26" s="118"/>
      <c r="AX26" s="118"/>
      <c r="AY26" s="118"/>
      <c r="AZ26" s="118"/>
      <c r="BA26" s="118"/>
      <c r="BB26" s="118"/>
      <c r="BC26" s="115"/>
      <c r="BD26" s="118"/>
      <c r="BE26" s="118"/>
      <c r="BF26" s="118"/>
      <c r="BG26" s="118"/>
      <c r="BH26" s="118"/>
      <c r="BI26" s="147"/>
      <c r="BJ26" s="165"/>
      <c r="BK26" s="153"/>
      <c r="BL26" s="118"/>
      <c r="BM26" s="118"/>
      <c r="BN26" s="118"/>
      <c r="BO26" s="118"/>
      <c r="BP26" s="118"/>
      <c r="BQ26" s="115"/>
      <c r="BR26" s="118"/>
      <c r="BS26" s="118"/>
      <c r="BT26" s="118"/>
      <c r="BU26" s="118"/>
      <c r="BV26" s="118"/>
      <c r="BW26" s="118"/>
      <c r="BX26" s="115"/>
      <c r="BY26" s="118"/>
      <c r="BZ26" s="118"/>
      <c r="CA26" s="118"/>
      <c r="CB26" s="118"/>
      <c r="CC26" s="118"/>
      <c r="CD26" s="119"/>
      <c r="CE26" s="115"/>
      <c r="CF26" s="119"/>
      <c r="CG26" s="118"/>
      <c r="CH26" s="118"/>
      <c r="CI26" s="118"/>
      <c r="CJ26" s="118"/>
      <c r="CK26" s="118"/>
      <c r="CL26" s="115"/>
      <c r="CM26" s="147"/>
      <c r="CN26" s="165"/>
    </row>
    <row r="27" spans="1:92" ht="18" customHeight="1" x14ac:dyDescent="0.25">
      <c r="A27" s="181">
        <v>22</v>
      </c>
      <c r="B27" s="118" t="s">
        <v>285</v>
      </c>
      <c r="C27" s="118"/>
      <c r="D27" s="118"/>
      <c r="E27" s="118"/>
      <c r="F27" s="115"/>
      <c r="G27" s="118"/>
      <c r="H27" s="118"/>
      <c r="I27" s="118"/>
      <c r="J27" s="115"/>
      <c r="K27" s="118"/>
      <c r="L27" s="118"/>
      <c r="M27" s="115"/>
      <c r="N27" s="118"/>
      <c r="O27" s="118"/>
      <c r="P27" s="118"/>
      <c r="Q27" s="118"/>
      <c r="R27" s="118"/>
      <c r="S27" s="118"/>
      <c r="T27" s="115"/>
      <c r="U27" s="118"/>
      <c r="V27" s="118"/>
      <c r="W27" s="118"/>
      <c r="X27" s="118"/>
      <c r="Y27" s="118"/>
      <c r="Z27" s="118"/>
      <c r="AA27" s="115"/>
      <c r="AB27" s="118"/>
      <c r="AC27" s="118"/>
      <c r="AD27" s="118"/>
      <c r="AE27" s="118"/>
      <c r="AF27" s="118"/>
      <c r="AG27" s="118"/>
      <c r="AH27" s="115"/>
      <c r="AI27" s="118"/>
      <c r="AJ27" s="118"/>
      <c r="AK27" s="131"/>
      <c r="AL27" s="131"/>
      <c r="AM27" s="115"/>
      <c r="AN27" s="116"/>
      <c r="AO27" s="115"/>
      <c r="AP27" s="116"/>
      <c r="AQ27" s="116"/>
      <c r="AR27" s="116"/>
      <c r="AS27" s="116"/>
      <c r="AT27" s="118"/>
      <c r="AU27" s="118"/>
      <c r="AV27" s="115"/>
      <c r="AW27" s="118"/>
      <c r="AX27" s="118"/>
      <c r="AY27" s="118"/>
      <c r="AZ27" s="118"/>
      <c r="BA27" s="118"/>
      <c r="BB27" s="118"/>
      <c r="BC27" s="115"/>
      <c r="BD27" s="118"/>
      <c r="BE27" s="118"/>
      <c r="BF27" s="118"/>
      <c r="BG27" s="118"/>
      <c r="BH27" s="118"/>
      <c r="BI27" s="147"/>
      <c r="BJ27" s="165"/>
      <c r="BK27" s="153"/>
      <c r="BL27" s="118"/>
      <c r="BM27" s="118"/>
      <c r="BN27" s="118"/>
      <c r="BO27" s="118"/>
      <c r="BP27" s="118"/>
      <c r="BQ27" s="115"/>
      <c r="BR27" s="118"/>
      <c r="BS27" s="118"/>
      <c r="BT27" s="118"/>
      <c r="BU27" s="118"/>
      <c r="BV27" s="118"/>
      <c r="BW27" s="118"/>
      <c r="BX27" s="115"/>
      <c r="BY27" s="118"/>
      <c r="BZ27" s="118"/>
      <c r="CA27" s="118"/>
      <c r="CB27" s="118"/>
      <c r="CC27" s="118"/>
      <c r="CD27" s="119"/>
      <c r="CE27" s="115"/>
      <c r="CF27" s="119"/>
      <c r="CG27" s="118"/>
      <c r="CH27" s="118"/>
      <c r="CI27" s="118"/>
      <c r="CJ27" s="118"/>
      <c r="CK27" s="118"/>
      <c r="CL27" s="115"/>
      <c r="CM27" s="147"/>
      <c r="CN27" s="165"/>
    </row>
    <row r="28" spans="1:92" ht="18" customHeight="1" x14ac:dyDescent="0.25">
      <c r="A28" s="181">
        <v>23</v>
      </c>
      <c r="B28" s="118" t="s">
        <v>286</v>
      </c>
      <c r="C28" s="118"/>
      <c r="D28" s="118"/>
      <c r="E28" s="118"/>
      <c r="F28" s="115"/>
      <c r="G28" s="118"/>
      <c r="H28" s="118"/>
      <c r="I28" s="118"/>
      <c r="J28" s="115"/>
      <c r="K28" s="118"/>
      <c r="L28" s="118"/>
      <c r="M28" s="115"/>
      <c r="N28" s="118"/>
      <c r="O28" s="118"/>
      <c r="P28" s="118"/>
      <c r="Q28" s="118"/>
      <c r="R28" s="118"/>
      <c r="S28" s="118"/>
      <c r="T28" s="115"/>
      <c r="U28" s="118"/>
      <c r="V28" s="118"/>
      <c r="W28" s="118"/>
      <c r="X28" s="118"/>
      <c r="Y28" s="118"/>
      <c r="Z28" s="118"/>
      <c r="AA28" s="115"/>
      <c r="AB28" s="118"/>
      <c r="AC28" s="118"/>
      <c r="AD28" s="118"/>
      <c r="AE28" s="118"/>
      <c r="AF28" s="118"/>
      <c r="AG28" s="118"/>
      <c r="AH28" s="115"/>
      <c r="AI28" s="118"/>
      <c r="AJ28" s="118"/>
      <c r="AK28" s="118"/>
      <c r="AL28" s="118"/>
      <c r="AM28" s="115"/>
      <c r="AN28" s="131"/>
      <c r="AO28" s="115"/>
      <c r="AP28" s="118"/>
      <c r="AQ28" s="118"/>
      <c r="AR28" s="116"/>
      <c r="AS28" s="116"/>
      <c r="AT28" s="116"/>
      <c r="AU28" s="116"/>
      <c r="AV28" s="115"/>
      <c r="AW28" s="118"/>
      <c r="AX28" s="118"/>
      <c r="AY28" s="118"/>
      <c r="AZ28" s="118"/>
      <c r="BA28" s="118"/>
      <c r="BB28" s="118"/>
      <c r="BC28" s="115"/>
      <c r="BD28" s="118"/>
      <c r="BE28" s="118"/>
      <c r="BF28" s="118"/>
      <c r="BG28" s="118"/>
      <c r="BH28" s="118"/>
      <c r="BI28" s="147"/>
      <c r="BJ28" s="165"/>
      <c r="BK28" s="153"/>
      <c r="BL28" s="118"/>
      <c r="BM28" s="118"/>
      <c r="BN28" s="118"/>
      <c r="BO28" s="118"/>
      <c r="BP28" s="118"/>
      <c r="BQ28" s="115"/>
      <c r="BR28" s="118"/>
      <c r="BS28" s="118"/>
      <c r="BT28" s="118"/>
      <c r="BU28" s="118"/>
      <c r="BV28" s="118"/>
      <c r="BW28" s="118"/>
      <c r="BX28" s="115"/>
      <c r="BY28" s="118"/>
      <c r="BZ28" s="118"/>
      <c r="CA28" s="118"/>
      <c r="CB28" s="118"/>
      <c r="CC28" s="118"/>
      <c r="CD28" s="119"/>
      <c r="CE28" s="115"/>
      <c r="CF28" s="119"/>
      <c r="CG28" s="118"/>
      <c r="CH28" s="118"/>
      <c r="CI28" s="118"/>
      <c r="CJ28" s="118"/>
      <c r="CK28" s="118"/>
      <c r="CL28" s="115"/>
      <c r="CM28" s="147"/>
      <c r="CN28" s="165"/>
    </row>
    <row r="29" spans="1:92" ht="18" customHeight="1" x14ac:dyDescent="0.25">
      <c r="A29" s="181">
        <v>24</v>
      </c>
      <c r="B29" s="118" t="s">
        <v>287</v>
      </c>
      <c r="C29" s="118"/>
      <c r="D29" s="118"/>
      <c r="E29" s="118"/>
      <c r="F29" s="115"/>
      <c r="G29" s="118"/>
      <c r="H29" s="118"/>
      <c r="I29" s="118"/>
      <c r="J29" s="115"/>
      <c r="K29" s="118"/>
      <c r="L29" s="118"/>
      <c r="M29" s="115"/>
      <c r="N29" s="118"/>
      <c r="O29" s="118"/>
      <c r="P29" s="118"/>
      <c r="Q29" s="118"/>
      <c r="R29" s="118"/>
      <c r="S29" s="118"/>
      <c r="T29" s="115"/>
      <c r="U29" s="118"/>
      <c r="V29" s="118"/>
      <c r="W29" s="118"/>
      <c r="X29" s="118"/>
      <c r="Y29" s="118"/>
      <c r="Z29" s="118"/>
      <c r="AA29" s="115"/>
      <c r="AB29" s="118"/>
      <c r="AC29" s="118"/>
      <c r="AD29" s="118"/>
      <c r="AE29" s="118"/>
      <c r="AF29" s="118"/>
      <c r="AG29" s="118"/>
      <c r="AH29" s="115"/>
      <c r="AI29" s="118"/>
      <c r="AJ29" s="118"/>
      <c r="AK29" s="118"/>
      <c r="AL29" s="118"/>
      <c r="AM29" s="115"/>
      <c r="AN29" s="118"/>
      <c r="AO29" s="115"/>
      <c r="AP29" s="118"/>
      <c r="AQ29" s="118"/>
      <c r="AR29" s="118"/>
      <c r="AS29" s="118"/>
      <c r="AT29" s="118"/>
      <c r="AU29" s="118"/>
      <c r="AV29" s="115"/>
      <c r="AW29" s="118"/>
      <c r="AY29" s="116"/>
      <c r="AZ29" s="116"/>
      <c r="BA29" s="116"/>
      <c r="BB29" s="116"/>
      <c r="BC29" s="115"/>
      <c r="BD29" s="118"/>
      <c r="BE29" s="118"/>
      <c r="BF29" s="118"/>
      <c r="BG29" s="118"/>
      <c r="BH29" s="118"/>
      <c r="BI29" s="147"/>
      <c r="BJ29" s="165"/>
      <c r="BK29" s="153"/>
      <c r="BL29" s="118"/>
      <c r="BM29" s="118"/>
      <c r="BN29" s="118"/>
      <c r="BO29" s="118"/>
      <c r="BP29" s="118"/>
      <c r="BQ29" s="115"/>
      <c r="BR29" s="118"/>
      <c r="BS29" s="118"/>
      <c r="BT29" s="118"/>
      <c r="BU29" s="118"/>
      <c r="BV29" s="118"/>
      <c r="BW29" s="118"/>
      <c r="BX29" s="115"/>
      <c r="BY29" s="118"/>
      <c r="BZ29" s="118"/>
      <c r="CA29" s="118"/>
      <c r="CB29" s="118"/>
      <c r="CC29" s="118"/>
      <c r="CD29" s="119"/>
      <c r="CE29" s="115"/>
      <c r="CF29" s="119"/>
      <c r="CG29" s="118"/>
      <c r="CH29" s="118"/>
      <c r="CI29" s="118"/>
      <c r="CJ29" s="118"/>
      <c r="CK29" s="118"/>
      <c r="CL29" s="115"/>
      <c r="CM29" s="147"/>
      <c r="CN29" s="165"/>
    </row>
    <row r="30" spans="1:92" ht="18" customHeight="1" x14ac:dyDescent="0.25">
      <c r="A30" s="181">
        <v>25</v>
      </c>
      <c r="B30" s="118" t="s">
        <v>288</v>
      </c>
      <c r="C30" s="118"/>
      <c r="D30" s="118"/>
      <c r="E30" s="118"/>
      <c r="F30" s="115"/>
      <c r="G30" s="118"/>
      <c r="H30" s="118"/>
      <c r="I30" s="118"/>
      <c r="J30" s="115"/>
      <c r="K30" s="118"/>
      <c r="L30" s="118"/>
      <c r="M30" s="115"/>
      <c r="N30" s="118"/>
      <c r="O30" s="118"/>
      <c r="P30" s="118"/>
      <c r="Q30" s="118"/>
      <c r="R30" s="118"/>
      <c r="S30" s="118"/>
      <c r="T30" s="115"/>
      <c r="U30" s="118"/>
      <c r="V30" s="118"/>
      <c r="W30" s="118"/>
      <c r="X30" s="118"/>
      <c r="Y30" s="118"/>
      <c r="Z30" s="118"/>
      <c r="AA30" s="115"/>
      <c r="AB30" s="118"/>
      <c r="AC30" s="118"/>
      <c r="AD30" s="118"/>
      <c r="AE30" s="118"/>
      <c r="AF30" s="118"/>
      <c r="AG30" s="118"/>
      <c r="AH30" s="115"/>
      <c r="AI30" s="118"/>
      <c r="AJ30" s="118"/>
      <c r="AK30" s="118"/>
      <c r="AL30" s="118"/>
      <c r="AM30" s="115"/>
      <c r="AN30" s="118"/>
      <c r="AO30" s="115"/>
      <c r="AP30" s="118"/>
      <c r="AQ30" s="131"/>
      <c r="AR30" s="118"/>
      <c r="AS30" s="118"/>
      <c r="AT30" s="118"/>
      <c r="AU30" s="118"/>
      <c r="AV30" s="115"/>
      <c r="AW30" s="137"/>
      <c r="AX30" s="137"/>
      <c r="AY30" s="137"/>
      <c r="AZ30" s="138"/>
      <c r="BA30" s="144"/>
      <c r="BB30" s="144"/>
      <c r="BC30" s="115"/>
      <c r="BD30" s="116"/>
      <c r="BE30" s="118"/>
      <c r="BF30" s="118"/>
      <c r="BG30" s="118"/>
      <c r="BH30" s="118"/>
      <c r="BI30" s="147"/>
      <c r="BJ30" s="165"/>
      <c r="BK30" s="153"/>
      <c r="BL30" s="118"/>
      <c r="BM30" s="118"/>
      <c r="BN30" s="118"/>
      <c r="BO30" s="118"/>
      <c r="BP30" s="118"/>
      <c r="BQ30" s="115"/>
      <c r="BR30" s="118"/>
      <c r="BS30" s="118"/>
      <c r="BT30" s="118"/>
      <c r="BU30" s="118"/>
      <c r="BV30" s="118"/>
      <c r="BW30" s="118"/>
      <c r="BX30" s="115"/>
      <c r="BY30" s="118"/>
      <c r="BZ30" s="118"/>
      <c r="CA30" s="118"/>
      <c r="CB30" s="118"/>
      <c r="CC30" s="118"/>
      <c r="CD30" s="119"/>
      <c r="CE30" s="115"/>
      <c r="CF30" s="119"/>
      <c r="CG30" s="118"/>
      <c r="CH30" s="118"/>
      <c r="CI30" s="118"/>
      <c r="CJ30" s="118"/>
      <c r="CK30" s="118"/>
      <c r="CL30" s="115"/>
      <c r="CM30" s="147"/>
      <c r="CN30" s="165"/>
    </row>
    <row r="31" spans="1:92" ht="18" customHeight="1" x14ac:dyDescent="0.25">
      <c r="A31" s="181">
        <v>26</v>
      </c>
      <c r="B31" s="118" t="s">
        <v>289</v>
      </c>
      <c r="C31" s="118"/>
      <c r="D31" s="118"/>
      <c r="E31" s="118"/>
      <c r="F31" s="115"/>
      <c r="G31" s="118"/>
      <c r="H31" s="118"/>
      <c r="I31" s="118"/>
      <c r="J31" s="115"/>
      <c r="K31" s="118"/>
      <c r="L31" s="118"/>
      <c r="M31" s="115"/>
      <c r="N31" s="118"/>
      <c r="O31" s="118"/>
      <c r="P31" s="118"/>
      <c r="Q31" s="118"/>
      <c r="R31" s="118"/>
      <c r="S31" s="118"/>
      <c r="T31" s="115"/>
      <c r="U31" s="118"/>
      <c r="V31" s="118"/>
      <c r="W31" s="118"/>
      <c r="X31" s="118"/>
      <c r="Y31" s="118"/>
      <c r="Z31" s="118"/>
      <c r="AA31" s="115"/>
      <c r="AB31" s="118"/>
      <c r="AC31" s="118"/>
      <c r="AD31" s="118"/>
      <c r="AE31" s="118"/>
      <c r="AF31" s="118"/>
      <c r="AG31" s="118"/>
      <c r="AH31" s="115"/>
      <c r="AI31" s="118"/>
      <c r="AJ31" s="118"/>
      <c r="AK31" s="118"/>
      <c r="AL31" s="118"/>
      <c r="AM31" s="115"/>
      <c r="AN31" s="118"/>
      <c r="AO31" s="115"/>
      <c r="AP31" s="118"/>
      <c r="AQ31" s="118"/>
      <c r="AR31" s="131"/>
      <c r="AS31" s="131"/>
      <c r="AT31" s="131"/>
      <c r="AU31" s="118"/>
      <c r="AV31" s="115"/>
      <c r="AZ31" s="118"/>
      <c r="BA31" s="118"/>
      <c r="BB31" s="118"/>
      <c r="BC31" s="115"/>
      <c r="BD31" s="116"/>
      <c r="BE31" s="116"/>
      <c r="BF31" s="116"/>
      <c r="BG31" s="116"/>
      <c r="BH31" s="116"/>
      <c r="BI31" s="147"/>
      <c r="BJ31" s="165"/>
      <c r="BK31" s="153"/>
      <c r="BL31" s="118"/>
      <c r="BM31" s="118"/>
      <c r="BN31" s="118"/>
      <c r="BO31" s="118"/>
      <c r="BP31" s="118"/>
      <c r="BQ31" s="115"/>
      <c r="BR31" s="118"/>
      <c r="BS31" s="118"/>
      <c r="BT31" s="118"/>
      <c r="BU31" s="118"/>
      <c r="BV31" s="118"/>
      <c r="BW31" s="118"/>
      <c r="BX31" s="115"/>
      <c r="BY31" s="118"/>
      <c r="BZ31" s="118"/>
      <c r="CA31" s="118"/>
      <c r="CB31" s="118"/>
      <c r="CC31" s="118"/>
      <c r="CD31" s="119"/>
      <c r="CE31" s="115"/>
      <c r="CF31" s="119"/>
      <c r="CG31" s="118"/>
      <c r="CH31" s="118"/>
      <c r="CI31" s="118"/>
      <c r="CJ31" s="118"/>
      <c r="CK31" s="118"/>
      <c r="CL31" s="115"/>
      <c r="CM31" s="147"/>
      <c r="CN31" s="165"/>
    </row>
    <row r="32" spans="1:92" ht="18" customHeight="1" x14ac:dyDescent="0.25">
      <c r="A32" s="181">
        <v>27</v>
      </c>
      <c r="B32" s="118" t="s">
        <v>290</v>
      </c>
      <c r="C32" s="118"/>
      <c r="D32" s="118"/>
      <c r="E32" s="118"/>
      <c r="F32" s="115"/>
      <c r="G32" s="118"/>
      <c r="H32" s="118"/>
      <c r="I32" s="118"/>
      <c r="J32" s="115"/>
      <c r="K32" s="118"/>
      <c r="L32" s="118"/>
      <c r="M32" s="115"/>
      <c r="N32" s="118"/>
      <c r="O32" s="118"/>
      <c r="P32" s="118"/>
      <c r="Q32" s="118"/>
      <c r="R32" s="118"/>
      <c r="S32" s="118"/>
      <c r="T32" s="115"/>
      <c r="U32" s="118"/>
      <c r="V32" s="118"/>
      <c r="W32" s="118"/>
      <c r="X32" s="118"/>
      <c r="Y32" s="118"/>
      <c r="Z32" s="118"/>
      <c r="AA32" s="115"/>
      <c r="AB32" s="118"/>
      <c r="AC32" s="118"/>
      <c r="AD32" s="118"/>
      <c r="AE32" s="118"/>
      <c r="AF32" s="118"/>
      <c r="AG32" s="118"/>
      <c r="AH32" s="115"/>
      <c r="AI32" s="118"/>
      <c r="AJ32" s="118"/>
      <c r="AK32" s="118"/>
      <c r="AL32" s="118"/>
      <c r="AM32" s="115"/>
      <c r="AN32" s="118"/>
      <c r="AO32" s="115"/>
      <c r="AP32" s="118"/>
      <c r="AQ32" s="118"/>
      <c r="AR32" s="118"/>
      <c r="AS32" s="118"/>
      <c r="AT32" s="118"/>
      <c r="AU32" s="118"/>
      <c r="AV32" s="115"/>
      <c r="AW32" s="118"/>
      <c r="AX32" s="118"/>
      <c r="AY32" s="118"/>
      <c r="AZ32" s="118"/>
      <c r="BA32" s="118"/>
      <c r="BB32" s="118"/>
      <c r="BC32" s="115"/>
      <c r="BD32" s="118"/>
      <c r="BE32" s="118"/>
      <c r="BF32" s="118"/>
      <c r="BG32" s="118"/>
      <c r="BH32" s="118"/>
      <c r="BI32" s="150"/>
      <c r="BJ32" s="165"/>
      <c r="BK32" s="155"/>
      <c r="BL32" s="116"/>
      <c r="BM32" s="116"/>
      <c r="BN32" s="118"/>
      <c r="BO32" s="118"/>
      <c r="BP32" s="118"/>
      <c r="BQ32" s="115"/>
      <c r="BR32" s="118"/>
      <c r="BS32" s="118"/>
      <c r="BT32" s="118"/>
      <c r="BU32" s="118"/>
      <c r="BV32" s="118"/>
      <c r="BW32" s="118"/>
      <c r="BX32" s="115"/>
      <c r="BY32" s="118"/>
      <c r="BZ32" s="118"/>
      <c r="CA32" s="118"/>
      <c r="CB32" s="118"/>
      <c r="CC32" s="118"/>
      <c r="CD32" s="119"/>
      <c r="CE32" s="115"/>
      <c r="CF32" s="119"/>
      <c r="CG32" s="118"/>
      <c r="CH32" s="118"/>
      <c r="CI32" s="118"/>
      <c r="CJ32" s="118"/>
      <c r="CK32" s="118"/>
      <c r="CL32" s="115"/>
      <c r="CM32" s="147"/>
      <c r="CN32" s="165"/>
    </row>
    <row r="33" spans="1:92" ht="18" customHeight="1" x14ac:dyDescent="0.25">
      <c r="A33" s="181">
        <v>28</v>
      </c>
      <c r="B33" s="118" t="s">
        <v>162</v>
      </c>
      <c r="C33" s="118"/>
      <c r="D33" s="118"/>
      <c r="E33" s="118"/>
      <c r="F33" s="115"/>
      <c r="G33" s="118"/>
      <c r="H33" s="118"/>
      <c r="I33" s="118"/>
      <c r="J33" s="115"/>
      <c r="K33" s="118"/>
      <c r="L33" s="118"/>
      <c r="M33" s="115"/>
      <c r="N33" s="118"/>
      <c r="O33" s="118"/>
      <c r="P33" s="118"/>
      <c r="Q33" s="118"/>
      <c r="R33" s="118"/>
      <c r="S33" s="118"/>
      <c r="T33" s="115"/>
      <c r="U33" s="118"/>
      <c r="V33" s="118"/>
      <c r="W33" s="118"/>
      <c r="X33" s="118"/>
      <c r="Y33" s="118"/>
      <c r="Z33" s="118"/>
      <c r="AA33" s="115"/>
      <c r="AB33" s="118"/>
      <c r="AC33" s="118"/>
      <c r="AD33" s="118"/>
      <c r="AE33" s="118"/>
      <c r="AF33" s="118"/>
      <c r="AG33" s="118"/>
      <c r="AH33" s="115"/>
      <c r="AI33" s="118"/>
      <c r="AJ33" s="118"/>
      <c r="AK33" s="118"/>
      <c r="AL33" s="118"/>
      <c r="AM33" s="115"/>
      <c r="AN33" s="118"/>
      <c r="AO33" s="115"/>
      <c r="AP33" s="118"/>
      <c r="AQ33" s="118"/>
      <c r="AR33" s="118"/>
      <c r="AS33" s="118"/>
      <c r="AT33" s="118"/>
      <c r="AU33" s="131"/>
      <c r="AV33" s="115"/>
      <c r="AW33" s="118"/>
      <c r="AX33" s="116"/>
      <c r="AY33" s="116"/>
      <c r="AZ33" s="116"/>
      <c r="BA33" s="116"/>
      <c r="BB33" s="116"/>
      <c r="BC33" s="115"/>
      <c r="BD33" s="116"/>
      <c r="BE33" s="118"/>
      <c r="BF33" s="118"/>
      <c r="BG33" s="118"/>
      <c r="BH33" s="118"/>
      <c r="BI33" s="147"/>
      <c r="BJ33" s="165"/>
      <c r="BK33" s="153"/>
      <c r="BL33" s="118"/>
      <c r="BM33" s="118"/>
      <c r="BN33" s="118"/>
      <c r="BO33" s="118"/>
      <c r="BP33" s="118"/>
      <c r="BQ33" s="115"/>
      <c r="BR33" s="118"/>
      <c r="BS33" s="118"/>
      <c r="BT33" s="118"/>
      <c r="BU33" s="118"/>
      <c r="BV33" s="118"/>
      <c r="BW33" s="118"/>
      <c r="BX33" s="115"/>
      <c r="BY33" s="118"/>
      <c r="BZ33" s="118"/>
      <c r="CA33" s="118"/>
      <c r="CB33" s="118"/>
      <c r="CC33" s="118"/>
      <c r="CD33" s="94"/>
      <c r="CE33" s="115"/>
      <c r="CF33" s="94"/>
      <c r="CG33" s="128"/>
      <c r="CH33" s="128"/>
      <c r="CI33" s="128"/>
      <c r="CJ33" s="128"/>
      <c r="CK33" s="128"/>
      <c r="CL33" s="115"/>
      <c r="CM33" s="147"/>
      <c r="CN33" s="165"/>
    </row>
    <row r="34" spans="1:92" ht="18" customHeight="1" x14ac:dyDescent="0.25">
      <c r="A34" s="181">
        <v>29</v>
      </c>
      <c r="B34" s="118" t="s">
        <v>163</v>
      </c>
      <c r="C34" s="118"/>
      <c r="D34" s="118"/>
      <c r="E34" s="118"/>
      <c r="F34" s="115"/>
      <c r="G34" s="118"/>
      <c r="H34" s="118"/>
      <c r="I34" s="118"/>
      <c r="J34" s="115"/>
      <c r="K34" s="118"/>
      <c r="L34" s="118"/>
      <c r="M34" s="115"/>
      <c r="N34" s="118"/>
      <c r="O34" s="118"/>
      <c r="P34" s="118"/>
      <c r="Q34" s="118"/>
      <c r="R34" s="118"/>
      <c r="S34" s="118"/>
      <c r="T34" s="115"/>
      <c r="U34" s="118"/>
      <c r="V34" s="118"/>
      <c r="W34" s="118"/>
      <c r="X34" s="118"/>
      <c r="Y34" s="118"/>
      <c r="Z34" s="118"/>
      <c r="AA34" s="115"/>
      <c r="AB34" s="118"/>
      <c r="AC34" s="118"/>
      <c r="AD34" s="118"/>
      <c r="AE34" s="118"/>
      <c r="AF34" s="118"/>
      <c r="AG34" s="118"/>
      <c r="AH34" s="115"/>
      <c r="AI34" s="118"/>
      <c r="AJ34" s="118"/>
      <c r="AK34" s="118"/>
      <c r="AL34" s="118"/>
      <c r="AM34" s="115"/>
      <c r="AN34" s="118"/>
      <c r="AO34" s="115"/>
      <c r="AP34" s="118"/>
      <c r="AQ34" s="118"/>
      <c r="AR34" s="118"/>
      <c r="AS34" s="118"/>
      <c r="AT34" s="118"/>
      <c r="AU34" s="118"/>
      <c r="AV34" s="115"/>
      <c r="AW34" s="131"/>
      <c r="AX34" s="116"/>
      <c r="AY34" s="116"/>
      <c r="AZ34" s="116"/>
      <c r="BA34" s="116"/>
      <c r="BB34" s="116"/>
      <c r="BC34" s="115"/>
      <c r="BD34" s="116"/>
      <c r="BE34" s="116"/>
      <c r="BF34" s="116"/>
      <c r="BG34" s="116"/>
      <c r="BH34" s="116"/>
      <c r="BI34" s="150"/>
      <c r="BJ34" s="165"/>
      <c r="BK34" s="153"/>
      <c r="BL34" s="118"/>
      <c r="BM34" s="118"/>
      <c r="BN34" s="118"/>
      <c r="BO34" s="118"/>
      <c r="BP34" s="118"/>
      <c r="BQ34" s="115"/>
      <c r="BR34" s="118"/>
      <c r="BS34" s="118"/>
      <c r="BT34" s="118"/>
      <c r="BU34" s="118"/>
      <c r="BV34" s="118"/>
      <c r="BW34" s="118"/>
      <c r="BX34" s="115"/>
      <c r="BY34" s="118"/>
      <c r="BZ34" s="118"/>
      <c r="CA34" s="118"/>
      <c r="CB34" s="118"/>
      <c r="CC34" s="94"/>
      <c r="CD34" s="94"/>
      <c r="CE34" s="115"/>
      <c r="CF34" s="94"/>
      <c r="CG34" s="94"/>
      <c r="CH34" s="118"/>
      <c r="CI34" s="119"/>
      <c r="CJ34" s="119"/>
      <c r="CK34" s="119"/>
      <c r="CL34" s="115"/>
      <c r="CM34" s="159"/>
      <c r="CN34" s="169"/>
    </row>
    <row r="35" spans="1:92" ht="18" customHeight="1" x14ac:dyDescent="0.25">
      <c r="A35" s="181">
        <v>30</v>
      </c>
      <c r="B35" s="118" t="s">
        <v>291</v>
      </c>
      <c r="C35" s="96"/>
      <c r="D35" s="96"/>
      <c r="E35" s="96"/>
      <c r="F35" s="115"/>
      <c r="G35" s="96"/>
      <c r="H35" s="96"/>
      <c r="I35" s="96"/>
      <c r="J35" s="115"/>
      <c r="K35" s="96"/>
      <c r="L35" s="96"/>
      <c r="M35" s="115"/>
      <c r="N35" s="96"/>
      <c r="O35" s="96"/>
      <c r="P35" s="96"/>
      <c r="Q35" s="96"/>
      <c r="R35" s="96"/>
      <c r="S35" s="96"/>
      <c r="T35" s="115"/>
      <c r="U35" s="96"/>
      <c r="V35" s="96"/>
      <c r="W35" s="96"/>
      <c r="X35" s="96"/>
      <c r="Y35" s="96"/>
      <c r="Z35" s="96"/>
      <c r="AA35" s="115"/>
      <c r="AB35" s="96"/>
      <c r="AC35" s="96"/>
      <c r="AD35" s="96"/>
      <c r="AE35" s="96"/>
      <c r="AF35" s="96"/>
      <c r="AG35" s="96"/>
      <c r="AH35" s="115"/>
      <c r="AI35" s="96"/>
      <c r="AJ35" s="96"/>
      <c r="AK35" s="96"/>
      <c r="AL35" s="96"/>
      <c r="AM35" s="115"/>
      <c r="AN35" s="96"/>
      <c r="AO35" s="115"/>
      <c r="AP35" s="118"/>
      <c r="AQ35" s="96"/>
      <c r="AR35" s="96"/>
      <c r="AS35" s="96"/>
      <c r="AT35" s="96"/>
      <c r="AU35" s="96"/>
      <c r="AV35" s="115"/>
      <c r="AW35" s="116"/>
      <c r="AX35" s="116"/>
      <c r="AY35" s="116"/>
      <c r="AZ35" s="116"/>
      <c r="BA35" s="96"/>
      <c r="BB35" s="96"/>
      <c r="BC35" s="115"/>
      <c r="BD35" s="96"/>
      <c r="BE35" s="96"/>
      <c r="BF35" s="131"/>
      <c r="BG35" s="131"/>
      <c r="BH35" s="96"/>
      <c r="BI35" s="151"/>
      <c r="BJ35" s="165"/>
      <c r="BK35" s="157"/>
      <c r="BL35" s="131"/>
      <c r="BM35" s="96"/>
      <c r="BN35" s="96"/>
      <c r="BO35" s="96"/>
      <c r="BP35" s="96"/>
      <c r="BQ35" s="115"/>
      <c r="BR35" s="96"/>
      <c r="BS35" s="96"/>
      <c r="BT35" s="96"/>
      <c r="BU35" s="96"/>
      <c r="BV35" s="96"/>
      <c r="BW35" s="96"/>
      <c r="BX35" s="115"/>
      <c r="BY35" s="96"/>
      <c r="BZ35" s="96"/>
      <c r="CA35" s="96"/>
      <c r="CB35" s="96"/>
      <c r="CC35" s="94"/>
      <c r="CD35" s="94"/>
      <c r="CE35" s="115"/>
      <c r="CF35" s="94"/>
      <c r="CG35" s="94"/>
      <c r="CH35" s="96"/>
      <c r="CI35" s="119"/>
      <c r="CJ35" s="119"/>
      <c r="CK35" s="119"/>
      <c r="CL35" s="115"/>
      <c r="CM35" s="159"/>
      <c r="CN35" s="169"/>
    </row>
    <row r="36" spans="1:92" ht="18" customHeight="1" x14ac:dyDescent="0.25">
      <c r="A36" s="181">
        <v>31</v>
      </c>
      <c r="B36" s="118" t="s">
        <v>292</v>
      </c>
      <c r="C36" s="96"/>
      <c r="D36" s="96"/>
      <c r="E36" s="96"/>
      <c r="F36" s="115"/>
      <c r="G36" s="96"/>
      <c r="H36" s="96"/>
      <c r="I36" s="96"/>
      <c r="J36" s="115"/>
      <c r="K36" s="96"/>
      <c r="L36" s="96"/>
      <c r="M36" s="115"/>
      <c r="N36" s="96"/>
      <c r="O36" s="96"/>
      <c r="P36" s="96"/>
      <c r="Q36" s="96"/>
      <c r="R36" s="96"/>
      <c r="S36" s="96"/>
      <c r="T36" s="115"/>
      <c r="U36" s="96"/>
      <c r="V36" s="96"/>
      <c r="W36" s="96"/>
      <c r="X36" s="96"/>
      <c r="Y36" s="96"/>
      <c r="Z36" s="96"/>
      <c r="AA36" s="115"/>
      <c r="AB36" s="96"/>
      <c r="AC36" s="96"/>
      <c r="AD36" s="96"/>
      <c r="AE36" s="96"/>
      <c r="AF36" s="96"/>
      <c r="AG36" s="96"/>
      <c r="AH36" s="115"/>
      <c r="AI36" s="96"/>
      <c r="AJ36" s="96"/>
      <c r="AK36" s="96"/>
      <c r="AL36" s="96"/>
      <c r="AM36" s="115"/>
      <c r="AN36" s="96"/>
      <c r="AO36" s="115"/>
      <c r="AP36" s="118"/>
      <c r="AQ36" s="96"/>
      <c r="AR36" s="96"/>
      <c r="AS36" s="96"/>
      <c r="AT36" s="96"/>
      <c r="AU36" s="96"/>
      <c r="AV36" s="115"/>
      <c r="AW36" s="96"/>
      <c r="AX36" s="96"/>
      <c r="AY36" s="96"/>
      <c r="AZ36" s="116"/>
      <c r="BA36" s="116"/>
      <c r="BB36" s="116"/>
      <c r="BC36" s="115"/>
      <c r="BD36" s="96"/>
      <c r="BE36" s="96"/>
      <c r="BF36" s="96"/>
      <c r="BG36" s="96"/>
      <c r="BH36" s="131"/>
      <c r="BI36" s="152"/>
      <c r="BJ36" s="165"/>
      <c r="BK36" s="156"/>
      <c r="BL36" s="96"/>
      <c r="BM36" s="131"/>
      <c r="BN36" s="131"/>
      <c r="BO36" s="96"/>
      <c r="BP36" s="96"/>
      <c r="BQ36" s="115"/>
      <c r="BR36" s="96"/>
      <c r="BS36" s="96"/>
      <c r="BT36" s="96"/>
      <c r="BU36" s="96"/>
      <c r="BV36" s="96"/>
      <c r="BW36" s="96"/>
      <c r="BX36" s="115"/>
      <c r="BY36" s="96"/>
      <c r="BZ36" s="96"/>
      <c r="CA36" s="96"/>
      <c r="CB36" s="96"/>
      <c r="CC36" s="94"/>
      <c r="CD36" s="94"/>
      <c r="CE36" s="115"/>
      <c r="CF36" s="94"/>
      <c r="CG36" s="94"/>
      <c r="CH36" s="96"/>
      <c r="CI36" s="119"/>
      <c r="CJ36" s="119"/>
      <c r="CK36" s="119"/>
      <c r="CL36" s="115"/>
      <c r="CM36" s="159"/>
      <c r="CN36" s="169"/>
    </row>
    <row r="37" spans="1:92" ht="18" customHeight="1" x14ac:dyDescent="0.25">
      <c r="A37" s="181">
        <v>32</v>
      </c>
      <c r="B37" s="118" t="s">
        <v>295</v>
      </c>
      <c r="C37" s="96"/>
      <c r="D37" s="96"/>
      <c r="E37" s="96"/>
      <c r="F37" s="115"/>
      <c r="G37" s="96"/>
      <c r="H37" s="96"/>
      <c r="I37" s="96"/>
      <c r="J37" s="115"/>
      <c r="K37" s="96"/>
      <c r="L37" s="96"/>
      <c r="M37" s="115"/>
      <c r="N37" s="96"/>
      <c r="O37" s="96"/>
      <c r="P37" s="96"/>
      <c r="Q37" s="96"/>
      <c r="R37" s="96"/>
      <c r="S37" s="96"/>
      <c r="T37" s="115"/>
      <c r="U37" s="96"/>
      <c r="V37" s="96"/>
      <c r="W37" s="96"/>
      <c r="X37" s="96"/>
      <c r="Y37" s="96"/>
      <c r="Z37" s="96"/>
      <c r="AA37" s="115"/>
      <c r="AB37" s="96"/>
      <c r="AC37" s="96"/>
      <c r="AD37" s="96"/>
      <c r="AE37" s="96"/>
      <c r="AF37" s="96"/>
      <c r="AG37" s="96"/>
      <c r="AH37" s="115"/>
      <c r="AI37" s="96"/>
      <c r="AJ37" s="96"/>
      <c r="AK37" s="96"/>
      <c r="AL37" s="96"/>
      <c r="AM37" s="115"/>
      <c r="AN37" s="96"/>
      <c r="AO37" s="115"/>
      <c r="AP37" s="118"/>
      <c r="AQ37" s="96"/>
      <c r="AR37" s="96"/>
      <c r="AS37" s="96"/>
      <c r="AT37" s="96"/>
      <c r="AU37" s="96"/>
      <c r="AV37" s="115"/>
      <c r="AW37" s="96"/>
      <c r="AX37" s="96"/>
      <c r="AY37" s="96"/>
      <c r="AZ37" s="96"/>
      <c r="BA37" s="96"/>
      <c r="BB37" s="96"/>
      <c r="BC37" s="115"/>
      <c r="BD37" s="96"/>
      <c r="BE37" s="96"/>
      <c r="BF37" s="96"/>
      <c r="BG37" s="96"/>
      <c r="BH37" s="96"/>
      <c r="BI37" s="151"/>
      <c r="BJ37" s="165"/>
      <c r="BK37" s="157"/>
      <c r="BL37" s="131"/>
      <c r="BM37" s="131"/>
      <c r="BN37" s="116"/>
      <c r="BO37" s="116"/>
      <c r="BP37" s="116"/>
      <c r="BQ37" s="115"/>
      <c r="BR37" s="96"/>
      <c r="BS37" s="96"/>
      <c r="BT37" s="96"/>
      <c r="BU37" s="96"/>
      <c r="BV37" s="96"/>
      <c r="BW37" s="96"/>
      <c r="BX37" s="115"/>
      <c r="BY37" s="96"/>
      <c r="BZ37" s="96"/>
      <c r="CA37" s="96"/>
      <c r="CB37" s="96"/>
      <c r="CC37" s="94"/>
      <c r="CD37" s="94"/>
      <c r="CE37" s="115"/>
      <c r="CF37" s="94"/>
      <c r="CG37" s="94"/>
      <c r="CH37" s="96"/>
      <c r="CI37" s="119"/>
      <c r="CJ37" s="119"/>
      <c r="CK37" s="119"/>
      <c r="CL37" s="115"/>
      <c r="CM37" s="159"/>
      <c r="CN37" s="169"/>
    </row>
    <row r="38" spans="1:92" ht="18" customHeight="1" x14ac:dyDescent="0.25">
      <c r="A38" s="181">
        <v>33</v>
      </c>
      <c r="B38" s="118" t="s">
        <v>296</v>
      </c>
      <c r="C38" s="96"/>
      <c r="D38" s="96"/>
      <c r="E38" s="96"/>
      <c r="F38" s="115"/>
      <c r="G38" s="96"/>
      <c r="H38" s="96"/>
      <c r="I38" s="96"/>
      <c r="J38" s="115"/>
      <c r="K38" s="96"/>
      <c r="L38" s="96"/>
      <c r="M38" s="115"/>
      <c r="N38" s="96"/>
      <c r="O38" s="96"/>
      <c r="P38" s="96"/>
      <c r="Q38" s="96"/>
      <c r="R38" s="96"/>
      <c r="S38" s="96"/>
      <c r="T38" s="115"/>
      <c r="U38" s="96"/>
      <c r="V38" s="96"/>
      <c r="W38" s="96"/>
      <c r="X38" s="96"/>
      <c r="Y38" s="96"/>
      <c r="Z38" s="96"/>
      <c r="AA38" s="115"/>
      <c r="AB38" s="96"/>
      <c r="AC38" s="96"/>
      <c r="AD38" s="96"/>
      <c r="AE38" s="96"/>
      <c r="AF38" s="96"/>
      <c r="AG38" s="96"/>
      <c r="AH38" s="115"/>
      <c r="AI38" s="96"/>
      <c r="AJ38" s="96"/>
      <c r="AK38" s="96"/>
      <c r="AL38" s="96"/>
      <c r="AM38" s="115"/>
      <c r="AN38" s="96"/>
      <c r="AO38" s="115"/>
      <c r="AP38" s="118"/>
      <c r="AQ38" s="96"/>
      <c r="AR38" s="96"/>
      <c r="AS38" s="96"/>
      <c r="AT38" s="96"/>
      <c r="AU38" s="96"/>
      <c r="AV38" s="115"/>
      <c r="AW38" s="96"/>
      <c r="AX38" s="96"/>
      <c r="AY38" s="96"/>
      <c r="AZ38" s="96"/>
      <c r="BA38" s="96"/>
      <c r="BB38" s="96"/>
      <c r="BC38" s="115"/>
      <c r="BD38" s="96"/>
      <c r="BE38" s="96"/>
      <c r="BF38" s="96"/>
      <c r="BG38" s="96"/>
      <c r="BH38" s="96"/>
      <c r="BI38" s="151"/>
      <c r="BJ38" s="165"/>
      <c r="BK38" s="156"/>
      <c r="BL38" s="96"/>
      <c r="BM38" s="96"/>
      <c r="BN38" s="131"/>
      <c r="BO38" s="131"/>
      <c r="BP38" s="131"/>
      <c r="BQ38" s="115"/>
      <c r="BR38" s="116"/>
      <c r="BS38" s="116"/>
      <c r="BT38" s="116"/>
      <c r="BU38" s="116"/>
      <c r="BV38" s="96"/>
      <c r="BW38" s="96"/>
      <c r="BX38" s="115"/>
      <c r="BY38" s="96"/>
      <c r="BZ38" s="96"/>
      <c r="CA38" s="96"/>
      <c r="CB38" s="96"/>
      <c r="CC38" s="94"/>
      <c r="CD38" s="94"/>
      <c r="CE38" s="115"/>
      <c r="CF38" s="94"/>
      <c r="CG38" s="94"/>
      <c r="CH38" s="96"/>
      <c r="CI38" s="119"/>
      <c r="CJ38" s="119"/>
      <c r="CK38" s="119"/>
      <c r="CL38" s="115"/>
      <c r="CM38" s="159"/>
      <c r="CN38" s="169"/>
    </row>
    <row r="39" spans="1:92" ht="18" customHeight="1" x14ac:dyDescent="0.25">
      <c r="A39" s="124">
        <v>34</v>
      </c>
      <c r="B39" s="96" t="s">
        <v>294</v>
      </c>
      <c r="C39" s="96"/>
      <c r="D39" s="96"/>
      <c r="E39" s="96"/>
      <c r="F39" s="115"/>
      <c r="G39" s="96"/>
      <c r="H39" s="96"/>
      <c r="I39" s="96"/>
      <c r="J39" s="115"/>
      <c r="K39" s="96"/>
      <c r="L39" s="96"/>
      <c r="M39" s="115"/>
      <c r="N39" s="96"/>
      <c r="O39" s="96"/>
      <c r="P39" s="96"/>
      <c r="Q39" s="96"/>
      <c r="R39" s="96"/>
      <c r="S39" s="96"/>
      <c r="T39" s="115"/>
      <c r="U39" s="96"/>
      <c r="V39" s="96"/>
      <c r="W39" s="96"/>
      <c r="X39" s="96"/>
      <c r="Y39" s="96"/>
      <c r="Z39" s="96"/>
      <c r="AA39" s="115"/>
      <c r="AB39" s="96"/>
      <c r="AC39" s="96"/>
      <c r="AD39" s="96"/>
      <c r="AE39" s="96"/>
      <c r="AF39" s="96"/>
      <c r="AG39" s="96"/>
      <c r="AH39" s="115"/>
      <c r="AI39" s="96"/>
      <c r="AJ39" s="96"/>
      <c r="AK39" s="96"/>
      <c r="AL39" s="96"/>
      <c r="AM39" s="115"/>
      <c r="AN39" s="96"/>
      <c r="AO39" s="115"/>
      <c r="AP39" s="118"/>
      <c r="AQ39" s="96"/>
      <c r="AR39" s="96"/>
      <c r="AS39" s="96"/>
      <c r="AT39" s="96"/>
      <c r="AU39" s="96"/>
      <c r="AV39" s="115"/>
      <c r="AW39" s="96"/>
      <c r="AX39" s="96"/>
      <c r="AY39" s="96"/>
      <c r="AZ39" s="96"/>
      <c r="BA39" s="96"/>
      <c r="BB39" s="96"/>
      <c r="BC39" s="115"/>
      <c r="BD39" s="96"/>
      <c r="BE39" s="96"/>
      <c r="BF39" s="96"/>
      <c r="BG39" s="96"/>
      <c r="BH39" s="96"/>
      <c r="BI39" s="151"/>
      <c r="BJ39" s="165"/>
      <c r="BK39" s="156"/>
      <c r="BL39" s="96"/>
      <c r="BM39" s="96"/>
      <c r="BN39" s="96"/>
      <c r="BO39" s="96"/>
      <c r="BP39" s="96"/>
      <c r="BQ39" s="115"/>
      <c r="BR39" s="96"/>
      <c r="BS39" s="96"/>
      <c r="BT39" s="131"/>
      <c r="BU39" s="131"/>
      <c r="BV39" s="116"/>
      <c r="BW39" s="116"/>
      <c r="BX39" s="115"/>
      <c r="BY39" s="96"/>
      <c r="BZ39" s="96"/>
      <c r="CA39" s="96"/>
      <c r="CB39" s="96"/>
      <c r="CC39" s="94"/>
      <c r="CD39" s="94"/>
      <c r="CE39" s="115"/>
      <c r="CF39" s="94"/>
      <c r="CG39" s="94"/>
      <c r="CH39" s="96"/>
      <c r="CI39" s="119"/>
      <c r="CJ39" s="119"/>
      <c r="CK39" s="119"/>
      <c r="CL39" s="115"/>
      <c r="CM39" s="159"/>
      <c r="CN39" s="169"/>
    </row>
    <row r="40" spans="1:92" ht="18" customHeight="1" x14ac:dyDescent="0.25">
      <c r="A40" s="124">
        <v>35</v>
      </c>
      <c r="B40" s="96" t="s">
        <v>301</v>
      </c>
      <c r="C40" s="96"/>
      <c r="D40" s="96"/>
      <c r="E40" s="96"/>
      <c r="F40" s="115"/>
      <c r="G40" s="96"/>
      <c r="H40" s="96"/>
      <c r="I40" s="96"/>
      <c r="J40" s="115"/>
      <c r="K40" s="96"/>
      <c r="L40" s="96"/>
      <c r="M40" s="115"/>
      <c r="N40" s="96"/>
      <c r="O40" s="96"/>
      <c r="P40" s="96"/>
      <c r="Q40" s="96"/>
      <c r="R40" s="96"/>
      <c r="S40" s="96"/>
      <c r="T40" s="115"/>
      <c r="U40" s="96"/>
      <c r="V40" s="96"/>
      <c r="W40" s="96"/>
      <c r="X40" s="96"/>
      <c r="Y40" s="96"/>
      <c r="Z40" s="96"/>
      <c r="AA40" s="115"/>
      <c r="AB40" s="96"/>
      <c r="AC40" s="96"/>
      <c r="AD40" s="96"/>
      <c r="AE40" s="96"/>
      <c r="AF40" s="96"/>
      <c r="AG40" s="96"/>
      <c r="AH40" s="115"/>
      <c r="AI40" s="96"/>
      <c r="AJ40" s="96"/>
      <c r="AK40" s="96"/>
      <c r="AL40" s="96"/>
      <c r="AM40" s="115"/>
      <c r="AN40" s="96"/>
      <c r="AO40" s="115"/>
      <c r="AP40" s="118"/>
      <c r="AQ40" s="96"/>
      <c r="AR40" s="96"/>
      <c r="AS40" s="96"/>
      <c r="AT40" s="96"/>
      <c r="AU40" s="96"/>
      <c r="AV40" s="115"/>
      <c r="AW40" s="96"/>
      <c r="AX40" s="96"/>
      <c r="AY40" s="96"/>
      <c r="AZ40" s="96"/>
      <c r="BA40" s="96"/>
      <c r="BB40" s="96"/>
      <c r="BC40" s="115"/>
      <c r="BD40" s="96"/>
      <c r="BE40" s="96"/>
      <c r="BF40" s="96"/>
      <c r="BG40" s="96"/>
      <c r="BH40" s="96"/>
      <c r="BI40" s="151"/>
      <c r="BJ40" s="165"/>
      <c r="BK40" s="156"/>
      <c r="BL40" s="96"/>
      <c r="BM40" s="96"/>
      <c r="BN40" s="96"/>
      <c r="BO40" s="96"/>
      <c r="BP40" s="96"/>
      <c r="BQ40" s="115"/>
      <c r="BR40" s="96"/>
      <c r="BS40" s="96"/>
      <c r="BT40" s="131"/>
      <c r="BU40" s="131"/>
      <c r="BV40" s="131"/>
      <c r="BW40" s="131"/>
      <c r="BX40" s="115"/>
      <c r="BY40" s="116"/>
      <c r="BZ40" s="116"/>
      <c r="CA40" s="116"/>
      <c r="CB40" s="116"/>
      <c r="CC40" s="116"/>
      <c r="CD40" s="116"/>
      <c r="CE40" s="115"/>
      <c r="CF40" s="94"/>
      <c r="CG40" s="94"/>
      <c r="CH40" s="96"/>
      <c r="CI40" s="119"/>
      <c r="CJ40" s="119"/>
      <c r="CK40" s="119"/>
      <c r="CL40" s="115"/>
      <c r="CM40" s="159"/>
      <c r="CN40" s="169"/>
    </row>
    <row r="41" spans="1:92" ht="18" customHeight="1" x14ac:dyDescent="0.25">
      <c r="A41" s="124">
        <v>36</v>
      </c>
      <c r="B41" s="96" t="s">
        <v>302</v>
      </c>
      <c r="C41" s="96"/>
      <c r="D41" s="96"/>
      <c r="E41" s="96"/>
      <c r="F41" s="115"/>
      <c r="G41" s="96"/>
      <c r="H41" s="96"/>
      <c r="I41" s="96"/>
      <c r="J41" s="115"/>
      <c r="K41" s="96"/>
      <c r="L41" s="96"/>
      <c r="M41" s="115"/>
      <c r="N41" s="96"/>
      <c r="O41" s="96"/>
      <c r="P41" s="96"/>
      <c r="Q41" s="96"/>
      <c r="R41" s="96"/>
      <c r="S41" s="96"/>
      <c r="T41" s="115"/>
      <c r="U41" s="96"/>
      <c r="V41" s="96"/>
      <c r="W41" s="96"/>
      <c r="X41" s="96"/>
      <c r="Y41" s="96"/>
      <c r="Z41" s="96"/>
      <c r="AA41" s="115"/>
      <c r="AB41" s="96"/>
      <c r="AC41" s="96"/>
      <c r="AD41" s="96"/>
      <c r="AE41" s="96"/>
      <c r="AF41" s="96"/>
      <c r="AG41" s="96"/>
      <c r="AH41" s="115"/>
      <c r="AI41" s="96"/>
      <c r="AJ41" s="96"/>
      <c r="AK41" s="96"/>
      <c r="AL41" s="96"/>
      <c r="AM41" s="115"/>
      <c r="AN41" s="96"/>
      <c r="AO41" s="115"/>
      <c r="AP41" s="118"/>
      <c r="AQ41" s="96"/>
      <c r="AR41" s="96"/>
      <c r="AS41" s="96"/>
      <c r="AT41" s="96"/>
      <c r="AU41" s="96"/>
      <c r="AV41" s="115"/>
      <c r="AW41" s="96"/>
      <c r="AX41" s="96"/>
      <c r="AY41" s="96"/>
      <c r="AZ41" s="96"/>
      <c r="BA41" s="96"/>
      <c r="BB41" s="96"/>
      <c r="BC41" s="115"/>
      <c r="BD41" s="96"/>
      <c r="BE41" s="96"/>
      <c r="BF41" s="96"/>
      <c r="BG41" s="96"/>
      <c r="BH41" s="96"/>
      <c r="BI41" s="151"/>
      <c r="BJ41" s="165"/>
      <c r="BK41" s="156"/>
      <c r="BL41" s="96"/>
      <c r="BM41" s="96"/>
      <c r="BN41" s="96"/>
      <c r="BO41" s="96"/>
      <c r="BP41" s="96"/>
      <c r="BQ41" s="115"/>
      <c r="BR41" s="96"/>
      <c r="BS41" s="118"/>
      <c r="BT41" s="118"/>
      <c r="BU41" s="118"/>
      <c r="BV41" s="118"/>
      <c r="BW41" s="118"/>
      <c r="BX41" s="115"/>
      <c r="BY41" s="131"/>
      <c r="BZ41" s="116"/>
      <c r="CA41" s="116"/>
      <c r="CB41" s="116"/>
      <c r="CC41" s="116"/>
      <c r="CD41" s="116"/>
      <c r="CE41" s="115"/>
      <c r="CF41" s="94"/>
      <c r="CG41" s="94"/>
      <c r="CH41" s="96"/>
      <c r="CI41" s="119"/>
      <c r="CJ41" s="119"/>
      <c r="CK41" s="119"/>
      <c r="CL41" s="115"/>
      <c r="CM41" s="159"/>
      <c r="CN41" s="169"/>
    </row>
    <row r="42" spans="1:92" ht="18" customHeight="1" x14ac:dyDescent="0.25">
      <c r="A42" s="124">
        <v>37</v>
      </c>
      <c r="B42" s="96" t="s">
        <v>303</v>
      </c>
      <c r="C42" s="96"/>
      <c r="D42" s="96"/>
      <c r="E42" s="96"/>
      <c r="F42" s="115"/>
      <c r="G42" s="96"/>
      <c r="H42" s="96"/>
      <c r="I42" s="96"/>
      <c r="J42" s="115"/>
      <c r="K42" s="96"/>
      <c r="L42" s="96"/>
      <c r="M42" s="115"/>
      <c r="N42" s="96"/>
      <c r="O42" s="96"/>
      <c r="P42" s="96"/>
      <c r="Q42" s="96"/>
      <c r="R42" s="96"/>
      <c r="S42" s="96"/>
      <c r="T42" s="115"/>
      <c r="U42" s="96"/>
      <c r="V42" s="96"/>
      <c r="W42" s="96"/>
      <c r="X42" s="96"/>
      <c r="Y42" s="96"/>
      <c r="Z42" s="96"/>
      <c r="AA42" s="115"/>
      <c r="AB42" s="96"/>
      <c r="AC42" s="96"/>
      <c r="AD42" s="96"/>
      <c r="AE42" s="96"/>
      <c r="AF42" s="96"/>
      <c r="AG42" s="96"/>
      <c r="AH42" s="115"/>
      <c r="AI42" s="96"/>
      <c r="AJ42" s="96"/>
      <c r="AK42" s="96"/>
      <c r="AL42" s="96"/>
      <c r="AM42" s="115"/>
      <c r="AN42" s="96"/>
      <c r="AO42" s="115"/>
      <c r="AP42" s="118"/>
      <c r="AQ42" s="96"/>
      <c r="AR42" s="96"/>
      <c r="AS42" s="96"/>
      <c r="AT42" s="96"/>
      <c r="AU42" s="96"/>
      <c r="AV42" s="115"/>
      <c r="AW42" s="96"/>
      <c r="AX42" s="96"/>
      <c r="AY42" s="96"/>
      <c r="AZ42" s="96"/>
      <c r="BA42" s="96"/>
      <c r="BB42" s="96"/>
      <c r="BC42" s="115"/>
      <c r="BD42" s="96"/>
      <c r="BE42" s="96"/>
      <c r="BF42" s="96"/>
      <c r="BG42" s="96"/>
      <c r="BH42" s="96"/>
      <c r="BI42" s="151"/>
      <c r="BJ42" s="165"/>
      <c r="BK42" s="156"/>
      <c r="BL42" s="96"/>
      <c r="BM42" s="96"/>
      <c r="BN42" s="96"/>
      <c r="BO42" s="96"/>
      <c r="BP42" s="96"/>
      <c r="BQ42" s="115"/>
      <c r="BR42" s="96"/>
      <c r="BS42" s="118"/>
      <c r="BT42" s="118"/>
      <c r="BU42" s="118"/>
      <c r="BV42" s="118"/>
      <c r="BW42" s="118"/>
      <c r="BX42" s="115"/>
      <c r="BY42" s="132"/>
      <c r="BZ42" s="118"/>
      <c r="CA42" s="118"/>
      <c r="CB42" s="116"/>
      <c r="CC42" s="116"/>
      <c r="CD42" s="116"/>
      <c r="CE42" s="115"/>
      <c r="CF42" s="117"/>
      <c r="CG42" s="117"/>
      <c r="CH42" s="96"/>
      <c r="CI42" s="119"/>
      <c r="CJ42" s="119"/>
      <c r="CK42" s="119"/>
      <c r="CL42" s="115"/>
      <c r="CM42" s="159"/>
      <c r="CN42" s="169"/>
    </row>
    <row r="43" spans="1:92" ht="18" customHeight="1" thickBot="1" x14ac:dyDescent="0.3">
      <c r="A43" s="124">
        <v>38</v>
      </c>
      <c r="B43" s="96" t="s">
        <v>299</v>
      </c>
      <c r="C43" s="96"/>
      <c r="D43" s="96"/>
      <c r="E43" s="96"/>
      <c r="F43" s="115"/>
      <c r="G43" s="96"/>
      <c r="H43" s="96"/>
      <c r="I43" s="96"/>
      <c r="J43" s="115"/>
      <c r="K43" s="96"/>
      <c r="L43" s="96"/>
      <c r="M43" s="115"/>
      <c r="N43" s="96"/>
      <c r="O43" s="96"/>
      <c r="P43" s="96"/>
      <c r="Q43" s="96"/>
      <c r="R43" s="96"/>
      <c r="S43" s="96"/>
      <c r="T43" s="115"/>
      <c r="U43" s="96"/>
      <c r="V43" s="96"/>
      <c r="W43" s="96"/>
      <c r="X43" s="96"/>
      <c r="Y43" s="96"/>
      <c r="Z43" s="96"/>
      <c r="AA43" s="115"/>
      <c r="AB43" s="96"/>
      <c r="AC43" s="96"/>
      <c r="AD43" s="96"/>
      <c r="AE43" s="96"/>
      <c r="AF43" s="96"/>
      <c r="AG43" s="96"/>
      <c r="AH43" s="115"/>
      <c r="AI43" s="96"/>
      <c r="AJ43" s="96"/>
      <c r="AK43" s="96"/>
      <c r="AL43" s="96"/>
      <c r="AM43" s="115"/>
      <c r="AN43" s="96"/>
      <c r="AO43" s="115"/>
      <c r="AP43" s="118"/>
      <c r="AQ43" s="96"/>
      <c r="AR43" s="96"/>
      <c r="AS43" s="96"/>
      <c r="AT43" s="96"/>
      <c r="AU43" s="96"/>
      <c r="AV43" s="115"/>
      <c r="AW43" s="96"/>
      <c r="AX43" s="96"/>
      <c r="AY43" s="96"/>
      <c r="AZ43" s="96"/>
      <c r="BA43" s="96"/>
      <c r="BB43" s="96"/>
      <c r="BC43" s="115"/>
      <c r="BD43" s="96"/>
      <c r="BE43" s="96"/>
      <c r="BF43" s="96"/>
      <c r="BG43" s="96"/>
      <c r="BH43" s="96"/>
      <c r="BI43" s="151"/>
      <c r="BJ43" s="166"/>
      <c r="BK43" s="156"/>
      <c r="BL43" s="96"/>
      <c r="BM43" s="96"/>
      <c r="BN43" s="96"/>
      <c r="BO43" s="96"/>
      <c r="BP43" s="96"/>
      <c r="BQ43" s="115"/>
      <c r="BR43" s="96"/>
      <c r="BS43" s="96"/>
      <c r="BT43" s="96"/>
      <c r="BU43" s="96"/>
      <c r="BV43" s="96"/>
      <c r="BW43" s="96"/>
      <c r="BX43" s="115"/>
      <c r="BY43" s="96"/>
      <c r="BZ43" s="96"/>
      <c r="CA43" s="96"/>
      <c r="CB43" s="96"/>
      <c r="CC43" s="131"/>
      <c r="CD43" s="131"/>
      <c r="CE43" s="115"/>
      <c r="CF43" s="131"/>
      <c r="CG43" s="131"/>
      <c r="CH43" s="117"/>
      <c r="CI43" s="117"/>
      <c r="CJ43" s="117"/>
      <c r="CK43" s="117"/>
      <c r="CL43" s="115"/>
      <c r="CM43" s="160"/>
      <c r="CN43" s="170"/>
    </row>
    <row r="44" spans="1:92" ht="18" customHeight="1" x14ac:dyDescent="0.25">
      <c r="A44" s="226"/>
      <c r="B44" s="227"/>
      <c r="C44" s="227"/>
      <c r="D44" s="227"/>
      <c r="E44" s="227"/>
      <c r="F44" s="227"/>
      <c r="G44" s="227"/>
      <c r="H44" s="227"/>
      <c r="I44" s="227"/>
      <c r="J44" s="227"/>
      <c r="K44" s="227"/>
      <c r="L44" s="227"/>
      <c r="M44" s="227"/>
      <c r="N44" s="227"/>
      <c r="O44" s="227"/>
      <c r="P44" s="227"/>
      <c r="Q44" s="227"/>
      <c r="R44" s="227"/>
      <c r="S44" s="227"/>
      <c r="T44" s="227"/>
      <c r="U44" s="227"/>
      <c r="V44" s="227"/>
      <c r="W44" s="227"/>
      <c r="X44" s="227"/>
      <c r="Y44" s="227"/>
      <c r="Z44" s="227"/>
      <c r="AA44" s="227"/>
      <c r="AB44" s="227"/>
      <c r="AC44" s="227"/>
      <c r="AD44" s="227"/>
      <c r="AE44" s="227"/>
      <c r="AF44" s="227"/>
      <c r="AG44" s="227"/>
      <c r="AH44" s="227"/>
      <c r="AI44" s="227"/>
      <c r="AJ44" s="227"/>
      <c r="AK44" s="227"/>
      <c r="AL44" s="227"/>
      <c r="AM44" s="227"/>
      <c r="AN44" s="227"/>
      <c r="AO44" s="227"/>
      <c r="AP44" s="227"/>
      <c r="AQ44" s="227"/>
      <c r="AR44" s="227"/>
      <c r="AS44" s="227"/>
      <c r="AT44" s="227"/>
      <c r="AU44" s="227"/>
      <c r="AV44" s="227"/>
      <c r="AW44" s="227"/>
      <c r="AX44" s="227"/>
      <c r="AY44" s="227"/>
      <c r="AZ44" s="228"/>
      <c r="BA44" s="228"/>
      <c r="BB44" s="228"/>
      <c r="BC44" s="228"/>
      <c r="BD44" s="228"/>
      <c r="BE44" s="228"/>
      <c r="BF44" s="228"/>
      <c r="BG44" s="228"/>
      <c r="BH44" s="228"/>
      <c r="BI44" s="228"/>
      <c r="BJ44" s="228"/>
      <c r="BK44" s="228"/>
      <c r="BL44" s="228"/>
      <c r="BM44" s="228"/>
      <c r="BN44" s="228"/>
      <c r="BO44" s="228"/>
      <c r="BP44" s="228"/>
      <c r="BQ44" s="227"/>
      <c r="BR44" s="227"/>
      <c r="BS44" s="227"/>
      <c r="BT44" s="227"/>
      <c r="BU44" s="227"/>
      <c r="BV44" s="227"/>
      <c r="BW44" s="227"/>
      <c r="BX44" s="227"/>
      <c r="BY44" s="227"/>
      <c r="BZ44" s="227"/>
      <c r="CA44" s="227"/>
      <c r="CB44" s="227"/>
      <c r="CC44" s="227"/>
      <c r="CD44" s="227"/>
      <c r="CE44" s="227"/>
      <c r="CF44" s="227"/>
      <c r="CG44" s="227"/>
      <c r="CH44" s="227"/>
      <c r="CI44" s="227"/>
      <c r="CJ44" s="227"/>
      <c r="CK44" s="227"/>
      <c r="CL44" s="227"/>
      <c r="CM44" s="227"/>
      <c r="CN44" s="229"/>
    </row>
    <row r="45" spans="1:92" ht="18" customHeight="1" x14ac:dyDescent="0.25">
      <c r="A45" s="191" t="s">
        <v>269</v>
      </c>
      <c r="B45" s="191" t="s">
        <v>312</v>
      </c>
      <c r="C45" s="224" t="s">
        <v>318</v>
      </c>
      <c r="D45" s="225"/>
      <c r="E45" s="225"/>
      <c r="F45" s="225"/>
      <c r="G45" s="225"/>
      <c r="H45" s="225"/>
      <c r="I45" s="225"/>
      <c r="J45" s="225"/>
      <c r="K45" s="225"/>
      <c r="L45" s="225"/>
      <c r="M45" s="225"/>
      <c r="N45" s="225"/>
      <c r="O45" s="225"/>
      <c r="P45" s="225"/>
      <c r="Q45" s="225"/>
      <c r="R45" s="225"/>
      <c r="S45" s="225"/>
      <c r="T45" s="225"/>
      <c r="U45" s="225"/>
      <c r="V45" s="225"/>
      <c r="W45" s="225"/>
      <c r="X45" s="225"/>
      <c r="Y45" s="225"/>
      <c r="Z45" s="225"/>
      <c r="AA45" s="225"/>
      <c r="AB45" s="225"/>
      <c r="AC45" s="225"/>
      <c r="AD45" s="225"/>
      <c r="AE45" s="225"/>
      <c r="AF45" s="225"/>
      <c r="AG45" s="225"/>
      <c r="AH45" s="224" t="s">
        <v>319</v>
      </c>
      <c r="AI45" s="225"/>
      <c r="AJ45" s="225"/>
      <c r="AK45" s="225"/>
      <c r="AL45" s="225"/>
      <c r="AM45" s="225"/>
      <c r="AN45" s="225"/>
      <c r="AO45" s="225"/>
      <c r="AP45" s="225"/>
      <c r="AQ45" s="225"/>
      <c r="AR45" s="225"/>
      <c r="AS45" s="225"/>
      <c r="AT45" s="225"/>
      <c r="AU45" s="225"/>
      <c r="AV45" s="225"/>
      <c r="AW45" s="225"/>
      <c r="AX45" s="225"/>
      <c r="AY45" s="225"/>
      <c r="AZ45" s="225"/>
      <c r="BA45" s="225"/>
      <c r="BB45" s="225"/>
      <c r="BC45" s="225"/>
      <c r="BD45" s="225"/>
      <c r="BE45" s="225"/>
      <c r="BF45" s="225"/>
      <c r="BG45" s="225"/>
      <c r="BH45" s="225"/>
      <c r="BI45" s="225"/>
      <c r="BJ45" s="225"/>
      <c r="BK45" s="225"/>
      <c r="BQ45" s="111"/>
      <c r="BX45" s="111"/>
      <c r="CE45" s="111"/>
      <c r="CL45" s="111"/>
    </row>
    <row r="46" spans="1:92" ht="18" customHeight="1" thickBot="1" x14ac:dyDescent="0.3">
      <c r="A46" s="191"/>
      <c r="B46" s="191"/>
      <c r="C46" s="219" t="s">
        <v>164</v>
      </c>
      <c r="D46" s="222"/>
      <c r="E46" s="222"/>
      <c r="F46" s="222"/>
      <c r="G46" s="222"/>
      <c r="H46" s="222"/>
      <c r="I46" s="223"/>
      <c r="J46" s="221" t="s">
        <v>165</v>
      </c>
      <c r="K46" s="222"/>
      <c r="L46" s="222"/>
      <c r="M46" s="222"/>
      <c r="N46" s="222"/>
      <c r="O46" s="222"/>
      <c r="P46" s="223"/>
      <c r="Q46" s="221" t="s">
        <v>166</v>
      </c>
      <c r="R46" s="222"/>
      <c r="S46" s="222"/>
      <c r="T46" s="222"/>
      <c r="U46" s="222"/>
      <c r="V46" s="222"/>
      <c r="W46" s="223"/>
      <c r="X46" s="221" t="s">
        <v>167</v>
      </c>
      <c r="Y46" s="222"/>
      <c r="Z46" s="222"/>
      <c r="AA46" s="222"/>
      <c r="AB46" s="222"/>
      <c r="AC46" s="222"/>
      <c r="AD46" s="223"/>
      <c r="AE46" s="221" t="s">
        <v>168</v>
      </c>
      <c r="AF46" s="222"/>
      <c r="AG46" s="222"/>
      <c r="AH46" s="222"/>
      <c r="AI46" s="222"/>
      <c r="AJ46" s="222"/>
      <c r="AK46" s="223"/>
      <c r="AL46" s="221" t="s">
        <v>169</v>
      </c>
      <c r="AM46" s="222"/>
      <c r="AN46" s="222"/>
      <c r="AO46" s="222"/>
      <c r="AP46" s="222"/>
      <c r="AQ46" s="222"/>
      <c r="AR46" s="223"/>
      <c r="AS46" s="221" t="s">
        <v>170</v>
      </c>
      <c r="AT46" s="222"/>
      <c r="AU46" s="222"/>
      <c r="AV46" s="222"/>
      <c r="AW46" s="222"/>
      <c r="AX46" s="222"/>
      <c r="AY46" s="223"/>
      <c r="AZ46" s="221" t="s">
        <v>171</v>
      </c>
      <c r="BA46" s="222"/>
      <c r="BB46" s="222"/>
      <c r="BC46" s="222"/>
      <c r="BD46" s="222"/>
      <c r="BE46" s="222"/>
      <c r="BF46" s="223"/>
      <c r="BG46" s="230" t="s">
        <v>172</v>
      </c>
      <c r="BH46" s="230"/>
      <c r="BI46" s="230"/>
      <c r="BJ46" s="230"/>
      <c r="BK46" s="224"/>
      <c r="BQ46" s="111"/>
      <c r="BX46" s="111"/>
      <c r="CE46" s="111"/>
      <c r="CL46" s="111"/>
    </row>
    <row r="47" spans="1:92" ht="18" customHeight="1" x14ac:dyDescent="0.25">
      <c r="A47" s="191"/>
      <c r="B47" s="191"/>
      <c r="C47" s="141">
        <v>1</v>
      </c>
      <c r="D47" s="141">
        <v>2</v>
      </c>
      <c r="E47" s="141">
        <v>3</v>
      </c>
      <c r="F47" s="123">
        <v>4</v>
      </c>
      <c r="G47" s="141">
        <v>5</v>
      </c>
      <c r="H47" s="141">
        <v>6</v>
      </c>
      <c r="I47" s="141">
        <v>7</v>
      </c>
      <c r="J47" s="141">
        <v>8</v>
      </c>
      <c r="K47" s="141">
        <v>9</v>
      </c>
      <c r="L47" s="141">
        <v>10</v>
      </c>
      <c r="M47" s="123">
        <v>11</v>
      </c>
      <c r="N47" s="141">
        <v>12</v>
      </c>
      <c r="O47" s="141">
        <v>13</v>
      </c>
      <c r="P47" s="141">
        <v>14</v>
      </c>
      <c r="Q47" s="141">
        <v>15</v>
      </c>
      <c r="R47" s="141">
        <v>16</v>
      </c>
      <c r="S47" s="141">
        <v>17</v>
      </c>
      <c r="T47" s="123">
        <v>18</v>
      </c>
      <c r="U47" s="141">
        <v>19</v>
      </c>
      <c r="V47" s="141">
        <v>20</v>
      </c>
      <c r="W47" s="141">
        <v>21</v>
      </c>
      <c r="X47" s="141">
        <v>22</v>
      </c>
      <c r="Y47" s="141">
        <v>23</v>
      </c>
      <c r="Z47" s="141">
        <v>24</v>
      </c>
      <c r="AA47" s="123">
        <v>25</v>
      </c>
      <c r="AB47" s="141">
        <v>26</v>
      </c>
      <c r="AC47" s="141">
        <v>27</v>
      </c>
      <c r="AD47" s="141">
        <v>28</v>
      </c>
      <c r="AE47" s="179">
        <v>29</v>
      </c>
      <c r="AF47" s="141">
        <v>30</v>
      </c>
      <c r="AG47" s="141">
        <v>31</v>
      </c>
      <c r="AH47" s="123">
        <v>1</v>
      </c>
      <c r="AI47" s="141">
        <v>2</v>
      </c>
      <c r="AJ47" s="141">
        <v>3</v>
      </c>
      <c r="AK47" s="141">
        <v>4</v>
      </c>
      <c r="AL47" s="141">
        <v>5</v>
      </c>
      <c r="AM47" s="141">
        <v>6</v>
      </c>
      <c r="AN47" s="141">
        <v>7</v>
      </c>
      <c r="AO47" s="123">
        <v>8</v>
      </c>
      <c r="AP47" s="141">
        <v>9</v>
      </c>
      <c r="AQ47" s="141">
        <v>10</v>
      </c>
      <c r="AR47" s="141">
        <v>11</v>
      </c>
      <c r="AS47" s="141">
        <v>12</v>
      </c>
      <c r="AT47" s="141">
        <v>13</v>
      </c>
      <c r="AU47" s="141">
        <v>14</v>
      </c>
      <c r="AV47" s="123">
        <v>15</v>
      </c>
      <c r="AW47" s="141">
        <v>16</v>
      </c>
      <c r="AX47" s="141">
        <v>17</v>
      </c>
      <c r="AY47" s="141">
        <v>18</v>
      </c>
      <c r="AZ47" s="141">
        <v>19</v>
      </c>
      <c r="BA47" s="141">
        <v>20</v>
      </c>
      <c r="BB47" s="141">
        <v>21</v>
      </c>
      <c r="BC47" s="123">
        <v>22</v>
      </c>
      <c r="BD47" s="141">
        <v>23</v>
      </c>
      <c r="BE47" s="141">
        <v>24</v>
      </c>
      <c r="BF47" s="141">
        <v>25</v>
      </c>
      <c r="BG47" s="141">
        <v>26</v>
      </c>
      <c r="BH47" s="141">
        <v>27</v>
      </c>
      <c r="BI47" s="141">
        <v>28</v>
      </c>
      <c r="BJ47" s="174">
        <v>29</v>
      </c>
      <c r="BK47" s="140">
        <v>30</v>
      </c>
      <c r="BQ47" s="111"/>
      <c r="BX47" s="111"/>
      <c r="CE47" s="111"/>
      <c r="CL47" s="111"/>
    </row>
    <row r="48" spans="1:92" ht="18" customHeight="1" x14ac:dyDescent="0.25">
      <c r="A48" s="191"/>
      <c r="B48" s="191"/>
      <c r="C48" s="141" t="s">
        <v>157</v>
      </c>
      <c r="D48" s="141" t="s">
        <v>158</v>
      </c>
      <c r="E48" s="141" t="s">
        <v>159</v>
      </c>
      <c r="F48" s="123" t="s">
        <v>320</v>
      </c>
      <c r="G48" s="136" t="s">
        <v>160</v>
      </c>
      <c r="H48" s="141" t="s">
        <v>156</v>
      </c>
      <c r="I48" s="141" t="s">
        <v>157</v>
      </c>
      <c r="J48" s="141" t="s">
        <v>157</v>
      </c>
      <c r="K48" s="141" t="s">
        <v>158</v>
      </c>
      <c r="L48" s="141" t="s">
        <v>159</v>
      </c>
      <c r="M48" s="123" t="s">
        <v>320</v>
      </c>
      <c r="N48" s="136" t="s">
        <v>160</v>
      </c>
      <c r="O48" s="141" t="s">
        <v>156</v>
      </c>
      <c r="P48" s="141" t="s">
        <v>157</v>
      </c>
      <c r="Q48" s="141" t="s">
        <v>157</v>
      </c>
      <c r="R48" s="141" t="s">
        <v>158</v>
      </c>
      <c r="S48" s="141" t="s">
        <v>159</v>
      </c>
      <c r="T48" s="123" t="s">
        <v>320</v>
      </c>
      <c r="U48" s="136" t="s">
        <v>160</v>
      </c>
      <c r="V48" s="141" t="s">
        <v>156</v>
      </c>
      <c r="W48" s="141" t="s">
        <v>157</v>
      </c>
      <c r="X48" s="141" t="s">
        <v>157</v>
      </c>
      <c r="Y48" s="141" t="s">
        <v>158</v>
      </c>
      <c r="Z48" s="141" t="s">
        <v>159</v>
      </c>
      <c r="AA48" s="123" t="s">
        <v>320</v>
      </c>
      <c r="AB48" s="136" t="s">
        <v>160</v>
      </c>
      <c r="AC48" s="141" t="s">
        <v>156</v>
      </c>
      <c r="AD48" s="141" t="s">
        <v>157</v>
      </c>
      <c r="AE48" s="179" t="s">
        <v>157</v>
      </c>
      <c r="AF48" s="141" t="s">
        <v>158</v>
      </c>
      <c r="AG48" s="141" t="s">
        <v>159</v>
      </c>
      <c r="AH48" s="123" t="s">
        <v>320</v>
      </c>
      <c r="AI48" s="136" t="s">
        <v>160</v>
      </c>
      <c r="AJ48" s="141" t="s">
        <v>156</v>
      </c>
      <c r="AK48" s="141" t="s">
        <v>157</v>
      </c>
      <c r="AL48" s="141" t="s">
        <v>157</v>
      </c>
      <c r="AM48" s="136" t="s">
        <v>158</v>
      </c>
      <c r="AN48" s="136" t="s">
        <v>159</v>
      </c>
      <c r="AO48" s="123" t="s">
        <v>320</v>
      </c>
      <c r="AP48" s="136" t="s">
        <v>160</v>
      </c>
      <c r="AQ48" s="141" t="s">
        <v>156</v>
      </c>
      <c r="AR48" s="141" t="s">
        <v>157</v>
      </c>
      <c r="AS48" s="141" t="s">
        <v>157</v>
      </c>
      <c r="AT48" s="141" t="s">
        <v>158</v>
      </c>
      <c r="AU48" s="141" t="s">
        <v>159</v>
      </c>
      <c r="AV48" s="123" t="s">
        <v>320</v>
      </c>
      <c r="AW48" s="136" t="s">
        <v>160</v>
      </c>
      <c r="AX48" s="141" t="s">
        <v>156</v>
      </c>
      <c r="AY48" s="141" t="s">
        <v>157</v>
      </c>
      <c r="AZ48" s="141" t="s">
        <v>157</v>
      </c>
      <c r="BA48" s="141" t="s">
        <v>158</v>
      </c>
      <c r="BB48" s="141" t="s">
        <v>159</v>
      </c>
      <c r="BC48" s="123" t="s">
        <v>320</v>
      </c>
      <c r="BD48" s="136" t="s">
        <v>160</v>
      </c>
      <c r="BE48" s="141" t="s">
        <v>156</v>
      </c>
      <c r="BF48" s="141" t="s">
        <v>157</v>
      </c>
      <c r="BG48" s="141" t="s">
        <v>157</v>
      </c>
      <c r="BH48" s="141" t="s">
        <v>158</v>
      </c>
      <c r="BI48" s="141" t="s">
        <v>159</v>
      </c>
      <c r="BJ48" s="175" t="s">
        <v>320</v>
      </c>
      <c r="BK48" s="161" t="s">
        <v>160</v>
      </c>
      <c r="BQ48" s="111"/>
      <c r="BX48" s="111"/>
      <c r="CE48" s="111"/>
      <c r="CL48" s="111"/>
    </row>
    <row r="49" spans="1:92" ht="18" customHeight="1" x14ac:dyDescent="0.25">
      <c r="A49" s="124">
        <v>39</v>
      </c>
      <c r="B49" s="96" t="s">
        <v>173</v>
      </c>
      <c r="C49" s="122"/>
      <c r="D49" s="122"/>
      <c r="E49" s="122"/>
      <c r="F49" s="116"/>
      <c r="G49" s="115"/>
      <c r="H49" s="116"/>
      <c r="I49" s="118"/>
      <c r="J49" s="118"/>
      <c r="K49" s="118"/>
      <c r="L49" s="118"/>
      <c r="M49" s="118"/>
      <c r="N49" s="115"/>
      <c r="O49" s="118"/>
      <c r="P49" s="118"/>
      <c r="Q49" s="118"/>
      <c r="R49" s="118"/>
      <c r="S49" s="118"/>
      <c r="T49" s="118"/>
      <c r="U49" s="115"/>
      <c r="V49" s="118"/>
      <c r="W49" s="118"/>
      <c r="X49" s="118"/>
      <c r="Y49" s="118"/>
      <c r="Z49" s="118"/>
      <c r="AA49" s="118"/>
      <c r="AB49" s="115"/>
      <c r="AC49" s="118"/>
      <c r="AD49" s="118"/>
      <c r="AE49" s="180"/>
      <c r="AF49" s="118"/>
      <c r="AG49" s="118"/>
      <c r="AH49" s="118"/>
      <c r="AI49" s="115"/>
      <c r="AJ49" s="118"/>
      <c r="AK49" s="118"/>
      <c r="AL49" s="118"/>
      <c r="AM49" s="115"/>
      <c r="AN49" s="115"/>
      <c r="AO49" s="118"/>
      <c r="AP49" s="115"/>
      <c r="AQ49" s="118"/>
      <c r="AR49" s="118"/>
      <c r="AS49" s="118"/>
      <c r="AT49" s="118"/>
      <c r="AU49" s="118"/>
      <c r="AV49" s="118"/>
      <c r="AW49" s="115"/>
      <c r="AX49" s="118"/>
      <c r="AY49" s="118"/>
      <c r="AZ49" s="118"/>
      <c r="BA49" s="118"/>
      <c r="BB49" s="118"/>
      <c r="BC49" s="118"/>
      <c r="BD49" s="115"/>
      <c r="BE49" s="118"/>
      <c r="BF49" s="118"/>
      <c r="BG49" s="118"/>
      <c r="BH49" s="118"/>
      <c r="BI49" s="118"/>
      <c r="BJ49" s="176"/>
      <c r="BK49" s="162"/>
      <c r="BQ49" s="111"/>
      <c r="BX49" s="111"/>
      <c r="CE49" s="111"/>
      <c r="CL49" s="111"/>
    </row>
    <row r="50" spans="1:92" ht="18" customHeight="1" x14ac:dyDescent="0.25">
      <c r="A50" s="124">
        <v>40</v>
      </c>
      <c r="B50" s="96" t="s">
        <v>314</v>
      </c>
      <c r="C50" s="118"/>
      <c r="D50" s="118"/>
      <c r="E50" s="118"/>
      <c r="F50" s="118"/>
      <c r="G50" s="115"/>
      <c r="H50" s="116"/>
      <c r="I50" s="116"/>
      <c r="J50" s="116"/>
      <c r="K50" s="116"/>
      <c r="L50" s="116"/>
      <c r="M50" s="116"/>
      <c r="N50" s="115"/>
      <c r="O50" s="118"/>
      <c r="P50" s="118"/>
      <c r="Q50" s="118"/>
      <c r="R50" s="118"/>
      <c r="S50" s="118"/>
      <c r="T50" s="118"/>
      <c r="U50" s="115"/>
      <c r="V50" s="118"/>
      <c r="W50" s="118"/>
      <c r="X50" s="118"/>
      <c r="Y50" s="118"/>
      <c r="Z50" s="118"/>
      <c r="AA50" s="118"/>
      <c r="AB50" s="115"/>
      <c r="AC50" s="118"/>
      <c r="AD50" s="118"/>
      <c r="AE50" s="180"/>
      <c r="AF50" s="118"/>
      <c r="AG50" s="118"/>
      <c r="AH50" s="118"/>
      <c r="AI50" s="115"/>
      <c r="AJ50" s="118"/>
      <c r="AK50" s="118"/>
      <c r="AL50" s="118"/>
      <c r="AM50" s="115"/>
      <c r="AN50" s="115"/>
      <c r="AO50" s="118"/>
      <c r="AP50" s="115"/>
      <c r="AQ50" s="118"/>
      <c r="AR50" s="118"/>
      <c r="AS50" s="118"/>
      <c r="AT50" s="118"/>
      <c r="AU50" s="118"/>
      <c r="AV50" s="118"/>
      <c r="AW50" s="115"/>
      <c r="AX50" s="118"/>
      <c r="AY50" s="118"/>
      <c r="AZ50" s="118"/>
      <c r="BA50" s="118"/>
      <c r="BB50" s="118"/>
      <c r="BC50" s="118"/>
      <c r="BD50" s="115"/>
      <c r="BE50" s="118"/>
      <c r="BF50" s="118"/>
      <c r="BG50" s="118"/>
      <c r="BH50" s="118"/>
      <c r="BI50" s="118"/>
      <c r="BJ50" s="176"/>
      <c r="BK50" s="162"/>
      <c r="BQ50" s="111"/>
      <c r="BX50" s="111"/>
      <c r="CE50" s="111"/>
      <c r="CL50" s="111"/>
    </row>
    <row r="51" spans="1:92" ht="18" customHeight="1" x14ac:dyDescent="0.25">
      <c r="A51" s="124">
        <v>41</v>
      </c>
      <c r="B51" s="96" t="s">
        <v>297</v>
      </c>
      <c r="C51" s="118"/>
      <c r="D51" s="118"/>
      <c r="E51" s="118"/>
      <c r="F51" s="118"/>
      <c r="G51" s="115"/>
      <c r="H51" s="118"/>
      <c r="I51" s="118"/>
      <c r="J51" s="118"/>
      <c r="K51" s="118"/>
      <c r="L51" s="118"/>
      <c r="M51" s="118"/>
      <c r="N51" s="115"/>
      <c r="O51" s="116"/>
      <c r="P51" s="116"/>
      <c r="Q51" s="116"/>
      <c r="R51" s="116"/>
      <c r="S51" s="116"/>
      <c r="T51" s="116"/>
      <c r="U51" s="115"/>
      <c r="V51" s="118"/>
      <c r="W51" s="118"/>
      <c r="X51" s="118"/>
      <c r="Y51" s="118"/>
      <c r="Z51" s="118"/>
      <c r="AA51" s="118"/>
      <c r="AB51" s="115"/>
      <c r="AC51" s="118"/>
      <c r="AD51" s="118"/>
      <c r="AE51" s="180"/>
      <c r="AF51" s="118"/>
      <c r="AG51" s="118"/>
      <c r="AH51" s="118"/>
      <c r="AI51" s="115"/>
      <c r="AJ51" s="118"/>
      <c r="AK51" s="118"/>
      <c r="AL51" s="118"/>
      <c r="AM51" s="115"/>
      <c r="AN51" s="115"/>
      <c r="AO51" s="118"/>
      <c r="AP51" s="115"/>
      <c r="AQ51" s="118"/>
      <c r="AR51" s="118"/>
      <c r="AS51" s="118"/>
      <c r="AT51" s="118"/>
      <c r="AU51" s="118"/>
      <c r="AV51" s="118"/>
      <c r="AW51" s="115"/>
      <c r="AX51" s="118"/>
      <c r="AY51" s="118"/>
      <c r="AZ51" s="118"/>
      <c r="BA51" s="118"/>
      <c r="BB51" s="118"/>
      <c r="BC51" s="118"/>
      <c r="BD51" s="115"/>
      <c r="BE51" s="118"/>
      <c r="BF51" s="118"/>
      <c r="BG51" s="118"/>
      <c r="BH51" s="118"/>
      <c r="BI51" s="118"/>
      <c r="BJ51" s="176"/>
      <c r="BK51" s="162"/>
      <c r="BQ51" s="111"/>
      <c r="BX51" s="111"/>
      <c r="CE51" s="111"/>
      <c r="CL51" s="111"/>
    </row>
    <row r="52" spans="1:92" ht="18" customHeight="1" x14ac:dyDescent="0.25">
      <c r="A52" s="124">
        <v>42</v>
      </c>
      <c r="B52" s="96" t="s">
        <v>298</v>
      </c>
      <c r="C52" s="118"/>
      <c r="D52" s="118"/>
      <c r="E52" s="118"/>
      <c r="F52" s="118"/>
      <c r="G52" s="115"/>
      <c r="H52" s="118"/>
      <c r="I52" s="118"/>
      <c r="J52" s="118"/>
      <c r="K52" s="118"/>
      <c r="L52" s="118"/>
      <c r="M52" s="118"/>
      <c r="N52" s="115"/>
      <c r="O52" s="118"/>
      <c r="P52" s="118"/>
      <c r="Q52" s="118"/>
      <c r="R52" s="118"/>
      <c r="S52" s="118"/>
      <c r="T52" s="118"/>
      <c r="U52" s="115"/>
      <c r="V52" s="116"/>
      <c r="W52" s="116"/>
      <c r="X52" s="116"/>
      <c r="Y52" s="116"/>
      <c r="Z52" s="116"/>
      <c r="AA52" s="116"/>
      <c r="AB52" s="115"/>
      <c r="AC52" s="116"/>
      <c r="AD52" s="116"/>
      <c r="AE52" s="180"/>
      <c r="AF52" s="118"/>
      <c r="AG52" s="118"/>
      <c r="AH52" s="118"/>
      <c r="AI52" s="115"/>
      <c r="AJ52" s="118"/>
      <c r="AK52" s="118"/>
      <c r="AL52" s="118"/>
      <c r="AM52" s="115"/>
      <c r="AN52" s="115"/>
      <c r="AO52" s="118"/>
      <c r="AP52" s="115"/>
      <c r="AQ52" s="118"/>
      <c r="AR52" s="118"/>
      <c r="AS52" s="118"/>
      <c r="AT52" s="118"/>
      <c r="AU52" s="118"/>
      <c r="AV52" s="118"/>
      <c r="AW52" s="115"/>
      <c r="AX52" s="118"/>
      <c r="AY52" s="118"/>
      <c r="AZ52" s="118"/>
      <c r="BA52" s="118"/>
      <c r="BB52" s="118"/>
      <c r="BC52" s="118"/>
      <c r="BD52" s="115"/>
      <c r="BE52" s="118"/>
      <c r="BF52" s="118"/>
      <c r="BG52" s="118"/>
      <c r="BH52" s="118"/>
      <c r="BI52" s="118"/>
      <c r="BJ52" s="176"/>
      <c r="BK52" s="162"/>
      <c r="BQ52" s="111"/>
      <c r="BX52" s="111"/>
      <c r="CE52" s="111"/>
      <c r="CL52" s="111"/>
    </row>
    <row r="53" spans="1:92" ht="18" customHeight="1" x14ac:dyDescent="0.25">
      <c r="A53" s="124">
        <v>43</v>
      </c>
      <c r="B53" s="96" t="s">
        <v>304</v>
      </c>
      <c r="C53" s="118"/>
      <c r="D53" s="118"/>
      <c r="E53" s="118"/>
      <c r="F53" s="118"/>
      <c r="G53" s="115"/>
      <c r="H53" s="118"/>
      <c r="I53" s="118"/>
      <c r="J53" s="118"/>
      <c r="K53" s="118"/>
      <c r="L53" s="118"/>
      <c r="M53" s="118"/>
      <c r="N53" s="115"/>
      <c r="O53" s="118"/>
      <c r="P53" s="118"/>
      <c r="Q53" s="118"/>
      <c r="R53" s="118"/>
      <c r="S53" s="118"/>
      <c r="T53" s="118"/>
      <c r="U53" s="115"/>
      <c r="V53" s="118"/>
      <c r="W53" s="118"/>
      <c r="X53" s="118"/>
      <c r="Y53" s="118"/>
      <c r="Z53" s="118"/>
      <c r="AA53" s="118"/>
      <c r="AB53" s="115"/>
      <c r="AC53" s="118"/>
      <c r="AD53" s="118"/>
      <c r="AE53" s="180"/>
      <c r="AF53" s="116"/>
      <c r="AG53" s="116"/>
      <c r="AH53" s="116"/>
      <c r="AI53" s="115"/>
      <c r="AJ53" s="118"/>
      <c r="AK53" s="118"/>
      <c r="AL53" s="118"/>
      <c r="AM53" s="115"/>
      <c r="AN53" s="115"/>
      <c r="AO53" s="118"/>
      <c r="AP53" s="115"/>
      <c r="AQ53" s="118"/>
      <c r="AR53" s="118"/>
      <c r="AS53" s="118"/>
      <c r="AT53" s="118"/>
      <c r="AU53" s="118"/>
      <c r="AV53" s="118"/>
      <c r="AW53" s="115"/>
      <c r="AX53" s="118"/>
      <c r="AY53" s="118"/>
      <c r="AZ53" s="118"/>
      <c r="BA53" s="118"/>
      <c r="BB53" s="118"/>
      <c r="BC53" s="118"/>
      <c r="BD53" s="115"/>
      <c r="BE53" s="118"/>
      <c r="BF53" s="118"/>
      <c r="BG53" s="118"/>
      <c r="BH53" s="118"/>
      <c r="BI53" s="118"/>
      <c r="BJ53" s="176"/>
      <c r="BK53" s="162"/>
      <c r="BQ53" s="111"/>
      <c r="BX53" s="111"/>
      <c r="CE53" s="111"/>
      <c r="CL53" s="111"/>
    </row>
    <row r="54" spans="1:92" ht="18" customHeight="1" x14ac:dyDescent="0.25">
      <c r="A54" s="124">
        <v>44</v>
      </c>
      <c r="B54" s="96" t="s">
        <v>305</v>
      </c>
      <c r="C54" s="118"/>
      <c r="D54" s="118"/>
      <c r="E54" s="118"/>
      <c r="F54" s="118"/>
      <c r="G54" s="115"/>
      <c r="H54" s="118"/>
      <c r="I54" s="118"/>
      <c r="J54" s="118"/>
      <c r="K54" s="118"/>
      <c r="L54" s="118"/>
      <c r="M54" s="118"/>
      <c r="N54" s="115"/>
      <c r="O54" s="118"/>
      <c r="P54" s="118"/>
      <c r="Q54" s="118"/>
      <c r="R54" s="118"/>
      <c r="S54" s="118"/>
      <c r="T54" s="118"/>
      <c r="U54" s="115"/>
      <c r="V54" s="118"/>
      <c r="W54" s="118"/>
      <c r="X54" s="118"/>
      <c r="Y54" s="118"/>
      <c r="Z54" s="118"/>
      <c r="AA54" s="118"/>
      <c r="AB54" s="115"/>
      <c r="AC54" s="118"/>
      <c r="AD54" s="118"/>
      <c r="AE54" s="180"/>
      <c r="AF54" s="118"/>
      <c r="AG54" s="118"/>
      <c r="AH54" s="118"/>
      <c r="AI54" s="115"/>
      <c r="AJ54" s="116"/>
      <c r="AK54" s="116"/>
      <c r="AL54" s="116"/>
      <c r="AM54" s="115"/>
      <c r="AN54" s="115"/>
      <c r="AO54" s="118"/>
      <c r="AP54" s="115"/>
      <c r="AQ54" s="118"/>
      <c r="AR54" s="118"/>
      <c r="AS54" s="118"/>
      <c r="AT54" s="118"/>
      <c r="AU54" s="118"/>
      <c r="AV54" s="118"/>
      <c r="AW54" s="115"/>
      <c r="AX54" s="118"/>
      <c r="AY54" s="118"/>
      <c r="AZ54" s="118"/>
      <c r="BA54" s="118"/>
      <c r="BB54" s="118"/>
      <c r="BC54" s="118"/>
      <c r="BD54" s="115"/>
      <c r="BE54" s="118"/>
      <c r="BF54" s="118"/>
      <c r="BG54" s="118"/>
      <c r="BH54" s="118"/>
      <c r="BI54" s="118"/>
      <c r="BJ54" s="176"/>
      <c r="BK54" s="162"/>
      <c r="BQ54" s="111"/>
      <c r="BX54" s="111"/>
      <c r="CE54" s="111"/>
      <c r="CL54" s="111"/>
    </row>
    <row r="55" spans="1:92" ht="18" customHeight="1" x14ac:dyDescent="0.25">
      <c r="A55" s="124">
        <v>45</v>
      </c>
      <c r="B55" s="96" t="s">
        <v>300</v>
      </c>
      <c r="C55" s="118"/>
      <c r="D55" s="118"/>
      <c r="E55" s="118"/>
      <c r="F55" s="118"/>
      <c r="G55" s="115"/>
      <c r="H55" s="118"/>
      <c r="I55" s="118"/>
      <c r="J55" s="118"/>
      <c r="K55" s="118"/>
      <c r="L55" s="118"/>
      <c r="M55" s="118"/>
      <c r="N55" s="115"/>
      <c r="O55" s="118"/>
      <c r="P55" s="118"/>
      <c r="Q55" s="118"/>
      <c r="R55" s="118"/>
      <c r="S55" s="118"/>
      <c r="T55" s="118"/>
      <c r="U55" s="115"/>
      <c r="V55" s="118"/>
      <c r="W55" s="118"/>
      <c r="X55" s="118"/>
      <c r="Y55" s="118"/>
      <c r="Z55" s="118"/>
      <c r="AA55" s="118"/>
      <c r="AB55" s="115"/>
      <c r="AC55" s="118"/>
      <c r="AD55" s="118"/>
      <c r="AE55" s="180"/>
      <c r="AF55" s="118"/>
      <c r="AG55" s="118"/>
      <c r="AH55" s="118"/>
      <c r="AI55" s="115"/>
      <c r="AJ55" s="118"/>
      <c r="AK55" s="118"/>
      <c r="AL55" s="118"/>
      <c r="AM55" s="115"/>
      <c r="AN55" s="115"/>
      <c r="AO55" s="118"/>
      <c r="AP55" s="115"/>
      <c r="AQ55" s="116"/>
      <c r="AR55" s="116"/>
      <c r="AS55" s="116"/>
      <c r="AT55" s="116"/>
      <c r="AU55" s="118"/>
      <c r="AV55" s="118"/>
      <c r="AW55" s="115"/>
      <c r="AX55" s="118"/>
      <c r="AY55" s="118"/>
      <c r="AZ55" s="118"/>
      <c r="BA55" s="118"/>
      <c r="BB55" s="118"/>
      <c r="BC55" s="118"/>
      <c r="BD55" s="115"/>
      <c r="BE55" s="118"/>
      <c r="BF55" s="118"/>
      <c r="BG55" s="118"/>
      <c r="BH55" s="118"/>
      <c r="BI55" s="118"/>
      <c r="BJ55" s="176"/>
      <c r="BK55" s="162"/>
      <c r="BQ55" s="111"/>
      <c r="BX55" s="111"/>
      <c r="CE55" s="111"/>
      <c r="CL55" s="111"/>
    </row>
    <row r="56" spans="1:92" ht="18" customHeight="1" x14ac:dyDescent="0.25">
      <c r="A56" s="124">
        <v>46</v>
      </c>
      <c r="B56" s="96" t="s">
        <v>306</v>
      </c>
      <c r="C56" s="118"/>
      <c r="D56" s="118"/>
      <c r="E56" s="118"/>
      <c r="F56" s="118"/>
      <c r="G56" s="115"/>
      <c r="H56" s="118"/>
      <c r="I56" s="118"/>
      <c r="J56" s="118"/>
      <c r="K56" s="118"/>
      <c r="L56" s="118"/>
      <c r="M56" s="118"/>
      <c r="N56" s="115"/>
      <c r="O56" s="118"/>
      <c r="P56" s="118"/>
      <c r="Q56" s="118"/>
      <c r="R56" s="118"/>
      <c r="S56" s="118"/>
      <c r="T56" s="118"/>
      <c r="U56" s="115"/>
      <c r="V56" s="118"/>
      <c r="W56" s="118"/>
      <c r="X56" s="118"/>
      <c r="Y56" s="118"/>
      <c r="Z56" s="118"/>
      <c r="AA56" s="118"/>
      <c r="AB56" s="115"/>
      <c r="AC56" s="118"/>
      <c r="AD56" s="118"/>
      <c r="AE56" s="180"/>
      <c r="AF56" s="118"/>
      <c r="AG56" s="118"/>
      <c r="AH56" s="118"/>
      <c r="AI56" s="115"/>
      <c r="AJ56" s="118"/>
      <c r="AK56" s="118"/>
      <c r="AL56" s="118"/>
      <c r="AM56" s="115"/>
      <c r="AN56" s="115"/>
      <c r="AO56" s="118"/>
      <c r="AP56" s="115"/>
      <c r="AQ56" s="118"/>
      <c r="AR56" s="118"/>
      <c r="AS56" s="118"/>
      <c r="AT56" s="116"/>
      <c r="AU56" s="116"/>
      <c r="AV56" s="116"/>
      <c r="AW56" s="115"/>
      <c r="AX56" s="118"/>
      <c r="AY56" s="118"/>
      <c r="AZ56" s="118"/>
      <c r="BA56" s="118"/>
      <c r="BB56" s="118"/>
      <c r="BC56" s="118"/>
      <c r="BD56" s="115"/>
      <c r="BE56" s="118"/>
      <c r="BF56" s="118"/>
      <c r="BG56" s="118"/>
      <c r="BH56" s="118"/>
      <c r="BI56" s="118"/>
      <c r="BJ56" s="176"/>
      <c r="BK56" s="162"/>
      <c r="BQ56" s="111"/>
      <c r="BX56" s="111"/>
      <c r="CE56" s="111"/>
      <c r="CL56" s="111"/>
    </row>
    <row r="57" spans="1:92" ht="18" customHeight="1" x14ac:dyDescent="0.25">
      <c r="A57" s="124">
        <v>47</v>
      </c>
      <c r="B57" s="96" t="s">
        <v>307</v>
      </c>
      <c r="C57" s="118"/>
      <c r="D57" s="118"/>
      <c r="E57" s="118"/>
      <c r="F57" s="118"/>
      <c r="G57" s="115"/>
      <c r="H57" s="118"/>
      <c r="I57" s="118"/>
      <c r="J57" s="118"/>
      <c r="K57" s="118"/>
      <c r="L57" s="118"/>
      <c r="M57" s="118"/>
      <c r="N57" s="115"/>
      <c r="O57" s="118"/>
      <c r="P57" s="118"/>
      <c r="Q57" s="118"/>
      <c r="R57" s="118"/>
      <c r="S57" s="118"/>
      <c r="T57" s="118"/>
      <c r="U57" s="115"/>
      <c r="V57" s="118"/>
      <c r="W57" s="118"/>
      <c r="X57" s="118"/>
      <c r="Y57" s="118"/>
      <c r="Z57" s="118"/>
      <c r="AA57" s="118"/>
      <c r="AB57" s="115"/>
      <c r="AC57" s="118"/>
      <c r="AD57" s="118"/>
      <c r="AE57" s="180"/>
      <c r="AF57" s="118"/>
      <c r="AG57" s="118"/>
      <c r="AH57" s="118"/>
      <c r="AI57" s="115"/>
      <c r="AJ57" s="118"/>
      <c r="AK57" s="118"/>
      <c r="AL57" s="118"/>
      <c r="AM57" s="115"/>
      <c r="AN57" s="115"/>
      <c r="AO57" s="118"/>
      <c r="AP57" s="115"/>
      <c r="AQ57" s="118"/>
      <c r="AR57" s="118"/>
      <c r="AS57" s="118"/>
      <c r="AT57" s="118"/>
      <c r="AU57" s="116"/>
      <c r="AV57" s="116"/>
      <c r="AW57" s="115"/>
      <c r="AX57" s="118"/>
      <c r="AY57" s="118"/>
      <c r="AZ57" s="118"/>
      <c r="BA57" s="118"/>
      <c r="BB57" s="118"/>
      <c r="BC57" s="118"/>
      <c r="BD57" s="115"/>
      <c r="BE57" s="118"/>
      <c r="BF57" s="118"/>
      <c r="BG57" s="118"/>
      <c r="BH57" s="118"/>
      <c r="BI57" s="118"/>
      <c r="BJ57" s="176"/>
      <c r="BK57" s="162"/>
      <c r="BQ57" s="111"/>
      <c r="BX57" s="111"/>
      <c r="CE57" s="111"/>
      <c r="CL57" s="111"/>
    </row>
    <row r="58" spans="1:92" ht="18" customHeight="1" x14ac:dyDescent="0.25">
      <c r="A58" s="124">
        <v>48</v>
      </c>
      <c r="B58" s="96" t="s">
        <v>308</v>
      </c>
      <c r="C58" s="118"/>
      <c r="D58" s="118"/>
      <c r="E58" s="118"/>
      <c r="F58" s="118"/>
      <c r="G58" s="115"/>
      <c r="H58" s="118"/>
      <c r="I58" s="118"/>
      <c r="J58" s="118"/>
      <c r="K58" s="118"/>
      <c r="L58" s="118"/>
      <c r="M58" s="118"/>
      <c r="N58" s="115"/>
      <c r="O58" s="118"/>
      <c r="P58" s="118"/>
      <c r="Q58" s="118"/>
      <c r="R58" s="118"/>
      <c r="S58" s="118"/>
      <c r="T58" s="118"/>
      <c r="U58" s="115"/>
      <c r="V58" s="118"/>
      <c r="W58" s="118"/>
      <c r="X58" s="118"/>
      <c r="Y58" s="118"/>
      <c r="Z58" s="118"/>
      <c r="AA58" s="118"/>
      <c r="AB58" s="115"/>
      <c r="AC58" s="118"/>
      <c r="AD58" s="118"/>
      <c r="AE58" s="180"/>
      <c r="AF58" s="118"/>
      <c r="AG58" s="118"/>
      <c r="AH58" s="118"/>
      <c r="AI58" s="115"/>
      <c r="AJ58" s="118"/>
      <c r="AK58" s="118"/>
      <c r="AL58" s="118"/>
      <c r="AM58" s="115"/>
      <c r="AN58" s="115"/>
      <c r="AO58" s="118"/>
      <c r="AP58" s="115"/>
      <c r="AQ58" s="118"/>
      <c r="AR58" s="118"/>
      <c r="AS58" s="118"/>
      <c r="AT58" s="118"/>
      <c r="AU58" s="118"/>
      <c r="AV58" s="118"/>
      <c r="AW58" s="115"/>
      <c r="AX58" s="116"/>
      <c r="AY58" s="116"/>
      <c r="AZ58" s="118"/>
      <c r="BA58" s="118"/>
      <c r="BB58" s="118"/>
      <c r="BC58" s="118"/>
      <c r="BD58" s="115"/>
      <c r="BE58" s="118"/>
      <c r="BF58" s="118"/>
      <c r="BG58" s="118"/>
      <c r="BH58" s="118"/>
      <c r="BI58" s="118"/>
      <c r="BJ58" s="176"/>
      <c r="BK58" s="162"/>
      <c r="BQ58" s="111"/>
      <c r="BX58" s="111"/>
      <c r="CE58" s="111"/>
      <c r="CL58" s="111"/>
    </row>
    <row r="59" spans="1:92" ht="18" customHeight="1" x14ac:dyDescent="0.25">
      <c r="A59" s="124">
        <v>49</v>
      </c>
      <c r="B59" s="96" t="s">
        <v>309</v>
      </c>
      <c r="C59" s="118"/>
      <c r="D59" s="118"/>
      <c r="E59" s="118"/>
      <c r="F59" s="118"/>
      <c r="G59" s="115"/>
      <c r="H59" s="118"/>
      <c r="I59" s="118"/>
      <c r="J59" s="118"/>
      <c r="K59" s="118"/>
      <c r="L59" s="118"/>
      <c r="M59" s="118"/>
      <c r="N59" s="115"/>
      <c r="O59" s="118"/>
      <c r="P59" s="118"/>
      <c r="Q59" s="118"/>
      <c r="R59" s="118"/>
      <c r="S59" s="118"/>
      <c r="T59" s="118"/>
      <c r="U59" s="115"/>
      <c r="V59" s="118"/>
      <c r="W59" s="118"/>
      <c r="X59" s="118"/>
      <c r="Y59" s="118"/>
      <c r="Z59" s="118"/>
      <c r="AA59" s="118"/>
      <c r="AB59" s="115"/>
      <c r="AC59" s="118"/>
      <c r="AD59" s="118"/>
      <c r="AE59" s="180"/>
      <c r="AF59" s="118"/>
      <c r="AG59" s="118"/>
      <c r="AH59" s="118"/>
      <c r="AI59" s="115"/>
      <c r="AJ59" s="118"/>
      <c r="AK59" s="118"/>
      <c r="AL59" s="118"/>
      <c r="AM59" s="115"/>
      <c r="AN59" s="115"/>
      <c r="AO59" s="118"/>
      <c r="AP59" s="115"/>
      <c r="AQ59" s="118"/>
      <c r="AR59" s="118"/>
      <c r="AS59" s="118"/>
      <c r="AT59" s="118"/>
      <c r="AU59" s="118"/>
      <c r="AV59" s="118"/>
      <c r="AW59" s="115"/>
      <c r="AX59" s="118"/>
      <c r="AY59" s="118"/>
      <c r="AZ59" s="116"/>
      <c r="BA59" s="116"/>
      <c r="BB59" s="116"/>
      <c r="BC59" s="116"/>
      <c r="BD59" s="115"/>
      <c r="BE59" s="118"/>
      <c r="BF59" s="118"/>
      <c r="BG59" s="118"/>
      <c r="BH59" s="118"/>
      <c r="BI59" s="118"/>
      <c r="BJ59" s="176"/>
      <c r="BK59" s="162"/>
      <c r="BQ59" s="111"/>
      <c r="BX59" s="111"/>
      <c r="CE59" s="111"/>
      <c r="CL59" s="111"/>
    </row>
    <row r="60" spans="1:92" ht="18" customHeight="1" x14ac:dyDescent="0.25">
      <c r="A60" s="124">
        <v>50</v>
      </c>
      <c r="B60" s="96" t="s">
        <v>310</v>
      </c>
      <c r="C60" s="118"/>
      <c r="D60" s="118"/>
      <c r="E60" s="118"/>
      <c r="F60" s="118"/>
      <c r="G60" s="115"/>
      <c r="H60" s="118"/>
      <c r="I60" s="118"/>
      <c r="J60" s="118"/>
      <c r="K60" s="118"/>
      <c r="L60" s="118"/>
      <c r="M60" s="118"/>
      <c r="N60" s="115"/>
      <c r="O60" s="118"/>
      <c r="P60" s="118"/>
      <c r="Q60" s="118"/>
      <c r="R60" s="118"/>
      <c r="S60" s="118"/>
      <c r="T60" s="118"/>
      <c r="U60" s="115"/>
      <c r="V60" s="118"/>
      <c r="W60" s="118"/>
      <c r="X60" s="118"/>
      <c r="Y60" s="118"/>
      <c r="Z60" s="118"/>
      <c r="AA60" s="118"/>
      <c r="AB60" s="115"/>
      <c r="AC60" s="118"/>
      <c r="AD60" s="118"/>
      <c r="AE60" s="180"/>
      <c r="AF60" s="118"/>
      <c r="AG60" s="118"/>
      <c r="AH60" s="118"/>
      <c r="AI60" s="115"/>
      <c r="AJ60" s="118"/>
      <c r="AK60" s="118"/>
      <c r="AL60" s="118"/>
      <c r="AM60" s="115"/>
      <c r="AN60" s="115"/>
      <c r="AO60" s="118"/>
      <c r="AP60" s="115"/>
      <c r="AQ60" s="118"/>
      <c r="AR60" s="118"/>
      <c r="AS60" s="118"/>
      <c r="AT60" s="118"/>
      <c r="AU60" s="118"/>
      <c r="AV60" s="118"/>
      <c r="AW60" s="115"/>
      <c r="AX60" s="118"/>
      <c r="AY60" s="118"/>
      <c r="AZ60" s="118"/>
      <c r="BA60" s="118"/>
      <c r="BB60" s="118"/>
      <c r="BC60" s="118"/>
      <c r="BD60" s="115"/>
      <c r="BE60" s="116"/>
      <c r="BF60" s="116"/>
      <c r="BG60" s="116"/>
      <c r="BH60" s="118"/>
      <c r="BI60" s="118"/>
      <c r="BJ60" s="176"/>
      <c r="BK60" s="162"/>
      <c r="BQ60" s="111"/>
      <c r="BX60" s="111"/>
      <c r="CE60" s="111"/>
      <c r="CL60" s="111"/>
    </row>
    <row r="61" spans="1:92" ht="18" customHeight="1" x14ac:dyDescent="0.25">
      <c r="A61" s="124">
        <v>51</v>
      </c>
      <c r="B61" s="96" t="s">
        <v>311</v>
      </c>
      <c r="C61" s="118"/>
      <c r="D61" s="118"/>
      <c r="E61" s="118"/>
      <c r="F61" s="118"/>
      <c r="G61" s="115"/>
      <c r="H61" s="118"/>
      <c r="I61" s="118"/>
      <c r="J61" s="118"/>
      <c r="K61" s="118"/>
      <c r="L61" s="118"/>
      <c r="M61" s="118"/>
      <c r="N61" s="115"/>
      <c r="O61" s="118"/>
      <c r="P61" s="118"/>
      <c r="Q61" s="118"/>
      <c r="R61" s="118"/>
      <c r="S61" s="118"/>
      <c r="T61" s="118"/>
      <c r="U61" s="115"/>
      <c r="V61" s="118"/>
      <c r="W61" s="118"/>
      <c r="X61" s="118"/>
      <c r="Y61" s="118"/>
      <c r="Z61" s="118"/>
      <c r="AA61" s="118"/>
      <c r="AB61" s="115"/>
      <c r="AC61" s="116"/>
      <c r="AD61" s="116"/>
      <c r="AE61" s="180"/>
      <c r="AF61" s="116"/>
      <c r="AG61" s="116"/>
      <c r="AH61" s="116"/>
      <c r="AI61" s="115"/>
      <c r="AJ61" s="116"/>
      <c r="AK61" s="116"/>
      <c r="AL61" s="116"/>
      <c r="AM61" s="115"/>
      <c r="AN61" s="115"/>
      <c r="AO61" s="116"/>
      <c r="AP61" s="115"/>
      <c r="AQ61" s="116"/>
      <c r="AR61" s="116"/>
      <c r="AS61" s="116"/>
      <c r="AT61" s="116"/>
      <c r="AU61" s="116"/>
      <c r="AV61" s="116"/>
      <c r="AW61" s="115"/>
      <c r="AX61" s="131"/>
      <c r="AY61" s="131"/>
      <c r="AZ61" s="131"/>
      <c r="BA61" s="131"/>
      <c r="BB61" s="131"/>
      <c r="BC61" s="132"/>
      <c r="BD61" s="115"/>
      <c r="BE61" s="131"/>
      <c r="BF61" s="131"/>
      <c r="BG61" s="131"/>
      <c r="BH61" s="131"/>
      <c r="BI61" s="131"/>
      <c r="BJ61" s="177"/>
      <c r="BK61" s="162"/>
      <c r="BQ61" s="111"/>
      <c r="BX61" s="111"/>
      <c r="CE61" s="111"/>
      <c r="CL61" s="111"/>
    </row>
    <row r="62" spans="1:92" ht="18" customHeight="1" thickBot="1" x14ac:dyDescent="0.3">
      <c r="A62" s="219" t="s">
        <v>313</v>
      </c>
      <c r="B62" s="220"/>
      <c r="C62" s="118"/>
      <c r="D62" s="118"/>
      <c r="E62" s="118"/>
      <c r="F62" s="118"/>
      <c r="G62" s="115"/>
      <c r="H62" s="118"/>
      <c r="I62" s="118"/>
      <c r="J62" s="118"/>
      <c r="K62" s="118"/>
      <c r="L62" s="118"/>
      <c r="M62" s="118"/>
      <c r="N62" s="115"/>
      <c r="O62" s="118"/>
      <c r="P62" s="118"/>
      <c r="Q62" s="118"/>
      <c r="R62" s="118"/>
      <c r="S62" s="118"/>
      <c r="T62" s="118"/>
      <c r="U62" s="115"/>
      <c r="V62" s="118"/>
      <c r="W62" s="118"/>
      <c r="X62" s="118"/>
      <c r="Y62" s="118"/>
      <c r="Z62" s="118"/>
      <c r="AA62" s="118"/>
      <c r="AB62" s="115"/>
      <c r="AC62" s="118"/>
      <c r="AD62" s="118"/>
      <c r="AE62" s="180"/>
      <c r="AF62" s="118"/>
      <c r="AG62" s="118"/>
      <c r="AH62" s="118"/>
      <c r="AI62" s="115"/>
      <c r="AJ62" s="118"/>
      <c r="AK62" s="118"/>
      <c r="AL62" s="118"/>
      <c r="AM62" s="115"/>
      <c r="AN62" s="115"/>
      <c r="AO62" s="118"/>
      <c r="AP62" s="115"/>
      <c r="AQ62" s="118"/>
      <c r="AR62" s="118"/>
      <c r="AS62" s="118"/>
      <c r="AT62" s="118"/>
      <c r="AU62" s="118"/>
      <c r="AV62" s="118"/>
      <c r="AW62" s="115"/>
      <c r="AX62" s="118"/>
      <c r="AY62" s="118"/>
      <c r="AZ62" s="118"/>
      <c r="BA62" s="118"/>
      <c r="BB62" s="118"/>
      <c r="BC62" s="118"/>
      <c r="BD62" s="115"/>
      <c r="BE62" s="118"/>
      <c r="BF62" s="118"/>
      <c r="BG62" s="118"/>
      <c r="BH62" s="118"/>
      <c r="BI62" s="118"/>
      <c r="BJ62" s="182"/>
      <c r="BK62" s="162"/>
      <c r="BQ62" s="111"/>
      <c r="BX62" s="111"/>
      <c r="CE62" s="111"/>
      <c r="CL62" s="111"/>
    </row>
    <row r="63" spans="1:92" ht="18.75" customHeight="1" x14ac:dyDescent="0.25">
      <c r="B63" s="112"/>
      <c r="C63" s="113"/>
      <c r="D63" s="113"/>
      <c r="E63" s="113"/>
      <c r="F63" s="120"/>
      <c r="G63" s="113"/>
      <c r="H63" s="113"/>
      <c r="I63" s="113"/>
      <c r="J63" s="113"/>
      <c r="K63" s="113"/>
      <c r="L63" s="113"/>
      <c r="M63" s="120"/>
      <c r="N63" s="113"/>
      <c r="O63" s="113"/>
      <c r="P63" s="113"/>
      <c r="Q63" s="113"/>
      <c r="R63" s="113"/>
      <c r="S63" s="113"/>
      <c r="T63" s="120"/>
      <c r="U63" s="113"/>
      <c r="V63" s="113"/>
      <c r="W63" s="113"/>
      <c r="X63" s="113"/>
      <c r="Y63" s="113"/>
      <c r="Z63" s="113"/>
      <c r="AA63" s="120"/>
      <c r="AB63" s="113"/>
      <c r="AC63" s="113"/>
      <c r="AD63" s="113"/>
      <c r="AE63" s="113"/>
      <c r="AF63" s="113"/>
      <c r="AG63" s="113"/>
      <c r="AH63" s="120"/>
      <c r="AI63" s="113"/>
      <c r="AJ63" s="113"/>
      <c r="AK63" s="113"/>
      <c r="AL63" s="113"/>
      <c r="AM63" s="113"/>
      <c r="AN63" s="113"/>
      <c r="AO63" s="120"/>
      <c r="AP63" s="113"/>
      <c r="AQ63" s="113"/>
      <c r="AR63" s="113"/>
      <c r="AS63" s="113"/>
      <c r="AT63" s="113"/>
      <c r="AU63" s="113"/>
      <c r="AV63" s="120"/>
      <c r="AW63" s="113"/>
      <c r="AX63" s="113"/>
      <c r="AY63" s="113"/>
      <c r="AZ63" s="113"/>
      <c r="BA63" s="113"/>
      <c r="BB63" s="113"/>
      <c r="BC63" s="120"/>
      <c r="BD63" s="113"/>
      <c r="BE63" s="113"/>
      <c r="BF63" s="113"/>
      <c r="BG63" s="113"/>
      <c r="BH63" s="113"/>
      <c r="BI63" s="113"/>
      <c r="BJ63" s="120"/>
      <c r="BK63" s="113"/>
      <c r="BL63" s="113"/>
      <c r="BM63" s="113"/>
      <c r="BN63" s="113"/>
      <c r="BO63" s="113"/>
      <c r="BP63" s="113"/>
      <c r="BQ63" s="120"/>
      <c r="BR63" s="113"/>
      <c r="BS63" s="113"/>
      <c r="BT63" s="113"/>
      <c r="BU63" s="113"/>
      <c r="BV63" s="113"/>
      <c r="BW63" s="113"/>
      <c r="BX63" s="120"/>
      <c r="BY63" s="113"/>
      <c r="BZ63" s="113"/>
      <c r="CA63" s="120"/>
      <c r="CB63" s="120"/>
      <c r="CC63" s="120"/>
      <c r="CD63" s="120"/>
      <c r="CE63" s="120"/>
      <c r="CF63" s="120"/>
      <c r="CG63" s="120"/>
      <c r="CH63" s="120"/>
      <c r="CI63" s="120"/>
      <c r="CJ63" s="120"/>
      <c r="CK63" s="120"/>
      <c r="CL63" s="120"/>
      <c r="CM63" s="120"/>
      <c r="CN63" s="120"/>
    </row>
    <row r="64" spans="1:92" ht="18" customHeight="1" x14ac:dyDescent="0.25">
      <c r="B64" s="113"/>
      <c r="C64" s="114"/>
      <c r="D64" s="112"/>
      <c r="E64" s="112"/>
      <c r="F64" s="120"/>
      <c r="G64" s="113"/>
      <c r="H64" s="113"/>
      <c r="I64" s="113"/>
      <c r="J64" s="113"/>
      <c r="K64" s="113"/>
      <c r="L64" s="113"/>
      <c r="M64" s="120"/>
      <c r="N64" s="113"/>
      <c r="O64" s="113"/>
      <c r="P64" s="113"/>
      <c r="Q64" s="113"/>
      <c r="R64" s="113"/>
      <c r="S64" s="113"/>
      <c r="T64" s="120"/>
      <c r="U64" s="113"/>
      <c r="V64" s="113"/>
      <c r="W64" s="113"/>
      <c r="X64" s="113"/>
      <c r="Y64" s="113"/>
      <c r="Z64" s="113"/>
      <c r="AA64" s="120"/>
      <c r="AB64" s="113"/>
      <c r="AC64" s="113"/>
      <c r="AD64" s="113"/>
      <c r="AE64" s="113"/>
      <c r="AF64" s="113"/>
      <c r="AG64" s="113"/>
      <c r="AH64" s="120"/>
      <c r="AI64" s="113"/>
      <c r="AJ64" s="113"/>
      <c r="AK64" s="113"/>
      <c r="AL64" s="113"/>
      <c r="AM64" s="113"/>
      <c r="AN64" s="113"/>
      <c r="AO64" s="120"/>
      <c r="AP64" s="113"/>
      <c r="AQ64" s="113"/>
      <c r="AR64" s="113"/>
      <c r="AS64" s="113"/>
      <c r="AT64" s="113"/>
      <c r="AU64" s="113"/>
      <c r="AV64" s="120"/>
      <c r="AW64" s="113"/>
      <c r="AX64" s="113"/>
      <c r="AY64" s="113"/>
      <c r="AZ64" s="113"/>
      <c r="BA64" s="113"/>
      <c r="BB64" s="113"/>
      <c r="BC64" s="120"/>
      <c r="BD64" s="113"/>
      <c r="BE64" s="113"/>
      <c r="BF64" s="113"/>
      <c r="BG64" s="113"/>
      <c r="BH64" s="113"/>
      <c r="BI64" s="113"/>
      <c r="BJ64" s="120"/>
      <c r="BK64" s="113"/>
      <c r="BL64" s="113"/>
      <c r="BM64" s="113"/>
      <c r="BN64" s="113"/>
      <c r="BO64" s="113"/>
      <c r="BP64" s="113"/>
      <c r="BQ64" s="120"/>
      <c r="BR64" s="113"/>
      <c r="BS64" s="113"/>
      <c r="BT64" s="113"/>
      <c r="BU64" s="113"/>
      <c r="BV64" s="113"/>
      <c r="BW64" s="113"/>
      <c r="BX64" s="120"/>
      <c r="BY64" s="113"/>
      <c r="BZ64" s="113"/>
      <c r="CA64" s="113"/>
      <c r="CB64" s="113"/>
      <c r="CC64" s="113"/>
      <c r="CD64" s="113"/>
      <c r="CE64" s="120"/>
      <c r="CF64" s="113"/>
      <c r="CG64" s="113"/>
      <c r="CH64" s="113"/>
      <c r="CI64" s="113"/>
      <c r="CJ64" s="113"/>
      <c r="CK64" s="113"/>
      <c r="CL64" s="120"/>
      <c r="CM64" s="113"/>
      <c r="CN64" s="113"/>
    </row>
    <row r="65" spans="2:92" ht="18" customHeight="1" x14ac:dyDescent="0.25">
      <c r="B65" s="113"/>
      <c r="C65" s="114"/>
      <c r="D65" s="112"/>
      <c r="E65" s="112"/>
      <c r="F65" s="120"/>
      <c r="G65" s="113"/>
      <c r="H65" s="113"/>
      <c r="I65" s="113"/>
      <c r="J65" s="113"/>
      <c r="K65" s="113"/>
      <c r="L65" s="113"/>
      <c r="M65" s="120"/>
      <c r="N65" s="113"/>
      <c r="O65" s="113"/>
      <c r="P65" s="113"/>
      <c r="Q65" s="113"/>
      <c r="R65" s="113"/>
      <c r="S65" s="113"/>
      <c r="T65" s="120"/>
      <c r="U65" s="113"/>
      <c r="V65" s="113"/>
      <c r="W65" s="113"/>
      <c r="X65" s="113"/>
      <c r="Y65" s="113"/>
      <c r="Z65" s="113"/>
      <c r="AA65" s="120"/>
      <c r="AB65" s="113"/>
      <c r="AC65" s="113"/>
      <c r="AD65" s="113"/>
      <c r="AE65" s="113"/>
      <c r="AF65" s="113"/>
      <c r="AG65" s="113"/>
      <c r="AH65" s="120"/>
      <c r="AI65" s="113"/>
      <c r="AJ65" s="113"/>
      <c r="AK65" s="113"/>
      <c r="AL65" s="113"/>
      <c r="AM65" s="113"/>
      <c r="AN65" s="113"/>
      <c r="AO65" s="120"/>
      <c r="AP65" s="113"/>
      <c r="AQ65" s="113"/>
      <c r="AR65" s="113"/>
      <c r="AS65" s="113"/>
      <c r="AT65" s="113"/>
      <c r="AU65" s="113"/>
      <c r="AV65" s="120"/>
      <c r="AW65" s="113"/>
      <c r="AX65" s="113"/>
      <c r="AY65" s="113"/>
      <c r="AZ65" s="113"/>
      <c r="BA65" s="113"/>
      <c r="BB65" s="113"/>
      <c r="BC65" s="120"/>
      <c r="BD65" s="113"/>
      <c r="BE65" s="113"/>
      <c r="BF65" s="113"/>
      <c r="BG65" s="113"/>
      <c r="BH65" s="113"/>
      <c r="BI65" s="113"/>
      <c r="BJ65" s="120"/>
      <c r="BK65" s="113"/>
      <c r="BL65" s="113"/>
      <c r="BM65" s="113"/>
      <c r="BN65" s="113"/>
      <c r="BO65" s="113"/>
      <c r="BP65" s="113"/>
      <c r="BQ65" s="120"/>
      <c r="BR65" s="113"/>
      <c r="BS65" s="113"/>
      <c r="BT65" s="113"/>
      <c r="BU65" s="113"/>
      <c r="BV65" s="113"/>
      <c r="BW65" s="113"/>
      <c r="BX65" s="120"/>
      <c r="BY65" s="113"/>
      <c r="BZ65" s="113"/>
      <c r="CA65" s="113"/>
      <c r="CB65" s="113"/>
      <c r="CC65" s="113"/>
      <c r="CD65" s="113"/>
      <c r="CE65" s="120"/>
      <c r="CF65" s="113"/>
      <c r="CG65" s="113"/>
      <c r="CH65" s="113"/>
      <c r="CI65" s="113"/>
      <c r="CJ65" s="113"/>
      <c r="CK65" s="113"/>
      <c r="CL65" s="120"/>
      <c r="CM65" s="113"/>
      <c r="CN65" s="113"/>
    </row>
    <row r="66" spans="2:92" ht="18" customHeight="1" x14ac:dyDescent="0.25">
      <c r="B66" s="113"/>
      <c r="C66" s="114"/>
      <c r="D66" s="112"/>
      <c r="E66" s="112"/>
      <c r="F66" s="120"/>
      <c r="G66" s="113"/>
      <c r="H66" s="113"/>
      <c r="I66" s="113"/>
      <c r="J66" s="113"/>
      <c r="K66" s="113"/>
      <c r="L66" s="113"/>
      <c r="M66" s="120"/>
      <c r="N66" s="113"/>
      <c r="O66" s="113"/>
      <c r="P66" s="113"/>
      <c r="Q66" s="113"/>
      <c r="R66" s="113"/>
      <c r="S66" s="113"/>
      <c r="T66" s="120"/>
      <c r="U66" s="113"/>
      <c r="V66" s="113"/>
      <c r="W66" s="113"/>
      <c r="X66" s="113"/>
      <c r="Y66" s="113"/>
      <c r="Z66" s="113"/>
      <c r="AA66" s="120"/>
      <c r="AB66" s="113"/>
      <c r="AC66" s="113"/>
      <c r="AD66" s="113"/>
      <c r="AE66" s="113"/>
      <c r="AF66" s="113"/>
      <c r="AG66" s="113"/>
      <c r="AH66" s="120"/>
      <c r="AI66" s="113"/>
      <c r="AJ66" s="113"/>
      <c r="AK66" s="113"/>
      <c r="AL66" s="113"/>
      <c r="AM66" s="113"/>
      <c r="AN66" s="113"/>
      <c r="AO66" s="120"/>
      <c r="AP66" s="113"/>
      <c r="AQ66" s="113"/>
      <c r="AR66" s="113"/>
      <c r="AS66" s="113"/>
      <c r="AT66" s="113"/>
      <c r="AU66" s="113"/>
      <c r="AV66" s="120"/>
      <c r="AW66" s="113"/>
      <c r="AX66" s="113"/>
      <c r="AY66" s="113"/>
      <c r="AZ66" s="113"/>
      <c r="BA66" s="113"/>
      <c r="BB66" s="113"/>
      <c r="BC66" s="120"/>
      <c r="BD66" s="113"/>
      <c r="BE66" s="113"/>
      <c r="BF66" s="113"/>
      <c r="BG66" s="113"/>
      <c r="BH66" s="113"/>
      <c r="BI66" s="113"/>
      <c r="BJ66" s="120"/>
      <c r="BK66" s="113"/>
      <c r="BL66" s="113"/>
      <c r="BM66" s="113"/>
      <c r="BN66" s="113"/>
      <c r="BO66" s="113"/>
      <c r="BP66" s="113"/>
      <c r="BQ66" s="120"/>
      <c r="BR66" s="113"/>
      <c r="BS66" s="113"/>
      <c r="BT66" s="113"/>
      <c r="BU66" s="113"/>
      <c r="BV66" s="113"/>
      <c r="BW66" s="113"/>
      <c r="BX66" s="120"/>
      <c r="BY66" s="113"/>
      <c r="BZ66" s="113"/>
      <c r="CA66" s="113"/>
      <c r="CB66" s="113"/>
      <c r="CC66" s="113"/>
      <c r="CD66" s="113"/>
      <c r="CE66" s="120"/>
      <c r="CF66" s="113"/>
      <c r="CG66" s="113"/>
      <c r="CH66" s="113"/>
      <c r="CI66" s="113"/>
      <c r="CJ66" s="113"/>
      <c r="CK66" s="113"/>
      <c r="CL66" s="120"/>
      <c r="CM66" s="113"/>
      <c r="CN66" s="113"/>
    </row>
    <row r="67" spans="2:92" ht="18" customHeight="1" x14ac:dyDescent="0.25">
      <c r="B67" s="113"/>
      <c r="C67" s="114"/>
      <c r="D67" s="112"/>
      <c r="E67" s="112"/>
      <c r="F67" s="120"/>
      <c r="G67" s="113"/>
      <c r="H67" s="113"/>
      <c r="I67" s="113"/>
      <c r="J67" s="113"/>
      <c r="K67" s="113"/>
      <c r="L67" s="113"/>
      <c r="M67" s="120"/>
      <c r="N67" s="113"/>
      <c r="O67" s="113"/>
      <c r="P67" s="113"/>
      <c r="Q67" s="113"/>
      <c r="R67" s="113"/>
      <c r="S67" s="113"/>
      <c r="T67" s="120"/>
      <c r="U67" s="113"/>
      <c r="V67" s="113"/>
      <c r="W67" s="113"/>
      <c r="X67" s="113"/>
      <c r="Y67" s="113"/>
      <c r="Z67" s="113"/>
      <c r="AA67" s="120"/>
      <c r="AB67" s="113"/>
      <c r="AC67" s="113"/>
      <c r="AD67" s="113"/>
      <c r="AE67" s="113"/>
      <c r="AF67" s="113"/>
      <c r="AG67" s="113"/>
      <c r="AH67" s="120"/>
      <c r="AI67" s="113"/>
      <c r="AJ67" s="113"/>
      <c r="AK67" s="113"/>
      <c r="AL67" s="113"/>
      <c r="AM67" s="113"/>
      <c r="AN67" s="113"/>
      <c r="AO67" s="120"/>
      <c r="AP67" s="113"/>
      <c r="AQ67" s="113"/>
      <c r="AR67" s="113"/>
      <c r="AS67" s="113"/>
      <c r="AT67" s="113"/>
      <c r="AU67" s="113"/>
      <c r="AV67" s="120"/>
      <c r="AW67" s="113"/>
      <c r="AX67" s="113"/>
      <c r="AY67" s="113"/>
      <c r="AZ67" s="113"/>
      <c r="BA67" s="113"/>
      <c r="BB67" s="113"/>
      <c r="BC67" s="120"/>
      <c r="BD67" s="113"/>
      <c r="BE67" s="113"/>
      <c r="BF67" s="113"/>
      <c r="BG67" s="113"/>
      <c r="BH67" s="113"/>
      <c r="BI67" s="113"/>
      <c r="BJ67" s="120"/>
      <c r="BK67" s="113"/>
      <c r="BL67" s="113"/>
      <c r="BM67" s="113"/>
      <c r="BN67" s="113"/>
      <c r="BO67" s="113"/>
      <c r="BP67" s="113"/>
      <c r="BQ67" s="120"/>
      <c r="BR67" s="113"/>
      <c r="BS67" s="113"/>
      <c r="BT67" s="113"/>
      <c r="BU67" s="113"/>
      <c r="BV67" s="113"/>
      <c r="BW67" s="113"/>
      <c r="BX67" s="120"/>
      <c r="BY67" s="113"/>
      <c r="BZ67" s="113"/>
      <c r="CA67" s="113"/>
      <c r="CB67" s="113"/>
      <c r="CC67" s="113"/>
      <c r="CD67" s="113"/>
      <c r="CE67" s="120"/>
      <c r="CF67" s="113"/>
      <c r="CG67" s="113"/>
      <c r="CH67" s="113"/>
      <c r="CI67" s="113"/>
      <c r="CJ67" s="113"/>
      <c r="CK67" s="113"/>
      <c r="CL67" s="120"/>
      <c r="CM67" s="113"/>
      <c r="CN67" s="113"/>
    </row>
    <row r="68" spans="2:92" ht="18" customHeight="1" x14ac:dyDescent="0.25">
      <c r="B68" s="113"/>
      <c r="C68" s="114"/>
      <c r="D68" s="112"/>
      <c r="E68" s="112"/>
      <c r="F68" s="120"/>
      <c r="G68" s="113"/>
      <c r="H68" s="113"/>
      <c r="I68" s="113"/>
      <c r="J68" s="113"/>
      <c r="K68" s="113"/>
      <c r="L68" s="113"/>
      <c r="M68" s="120"/>
      <c r="N68" s="113"/>
      <c r="O68" s="113"/>
      <c r="P68" s="113"/>
      <c r="Q68" s="113"/>
      <c r="R68" s="113"/>
      <c r="S68" s="113"/>
      <c r="T68" s="120"/>
      <c r="U68" s="113"/>
      <c r="V68" s="113"/>
      <c r="W68" s="113"/>
      <c r="X68" s="113"/>
      <c r="Y68" s="113"/>
      <c r="Z68" s="113"/>
      <c r="AA68" s="120"/>
      <c r="AB68" s="113"/>
      <c r="AC68" s="113"/>
      <c r="AD68" s="113"/>
      <c r="AE68" s="113"/>
      <c r="AF68" s="113"/>
      <c r="AG68" s="113"/>
      <c r="AH68" s="120"/>
      <c r="AI68" s="113"/>
      <c r="AJ68" s="113"/>
      <c r="AK68" s="113"/>
      <c r="AL68" s="113"/>
      <c r="AM68" s="113"/>
      <c r="AN68" s="113"/>
      <c r="AO68" s="120"/>
      <c r="AP68" s="113"/>
      <c r="AQ68" s="113"/>
      <c r="AR68" s="113"/>
      <c r="AS68" s="113"/>
      <c r="AT68" s="113"/>
      <c r="AU68" s="113"/>
      <c r="AV68" s="120"/>
      <c r="AW68" s="113"/>
      <c r="AX68" s="113"/>
      <c r="AY68" s="113"/>
      <c r="AZ68" s="113"/>
      <c r="BA68" s="113"/>
      <c r="BB68" s="113"/>
      <c r="BC68" s="120"/>
      <c r="BD68" s="113"/>
      <c r="BE68" s="113"/>
      <c r="BF68" s="113"/>
      <c r="BG68" s="113"/>
      <c r="BH68" s="113"/>
      <c r="BI68" s="113"/>
      <c r="BJ68" s="120"/>
      <c r="BK68" s="113"/>
      <c r="BL68" s="113"/>
      <c r="BM68" s="113"/>
      <c r="BN68" s="113"/>
      <c r="BO68" s="113"/>
      <c r="BP68" s="113"/>
      <c r="BQ68" s="120"/>
      <c r="BR68" s="113"/>
      <c r="BS68" s="113"/>
      <c r="BT68" s="113"/>
      <c r="BU68" s="113"/>
      <c r="BV68" s="113"/>
      <c r="BW68" s="113"/>
      <c r="BX68" s="120"/>
      <c r="BY68" s="113"/>
      <c r="BZ68" s="113"/>
      <c r="CA68" s="113"/>
      <c r="CB68" s="113"/>
      <c r="CC68" s="113"/>
      <c r="CD68" s="113"/>
      <c r="CE68" s="120"/>
      <c r="CF68" s="113"/>
      <c r="CG68" s="113"/>
      <c r="CH68" s="113"/>
      <c r="CI68" s="113"/>
      <c r="CJ68" s="113"/>
      <c r="CK68" s="113"/>
      <c r="CL68" s="120"/>
      <c r="CM68" s="113"/>
      <c r="CN68" s="113"/>
    </row>
    <row r="69" spans="2:92" ht="18" customHeight="1" x14ac:dyDescent="0.25">
      <c r="B69" s="113"/>
      <c r="C69" s="114"/>
      <c r="D69" s="112"/>
      <c r="E69" s="112"/>
      <c r="F69" s="120"/>
      <c r="G69" s="113"/>
      <c r="H69" s="113"/>
      <c r="I69" s="113"/>
      <c r="J69" s="113"/>
      <c r="K69" s="113"/>
      <c r="L69" s="113"/>
      <c r="M69" s="120"/>
      <c r="N69" s="113"/>
      <c r="O69" s="113"/>
      <c r="P69" s="113"/>
      <c r="Q69" s="113"/>
      <c r="R69" s="113"/>
      <c r="S69" s="113"/>
      <c r="T69" s="120"/>
      <c r="U69" s="113"/>
      <c r="V69" s="113"/>
      <c r="W69" s="113"/>
      <c r="X69" s="113"/>
      <c r="Y69" s="113"/>
      <c r="Z69" s="113"/>
      <c r="AA69" s="120"/>
      <c r="AB69" s="113"/>
      <c r="AC69" s="113"/>
      <c r="AD69" s="113"/>
      <c r="AE69" s="113"/>
      <c r="AF69" s="113"/>
      <c r="AG69" s="113"/>
      <c r="AH69" s="120"/>
      <c r="AI69" s="113"/>
      <c r="AJ69" s="113"/>
      <c r="AK69" s="113"/>
      <c r="AL69" s="113"/>
      <c r="AM69" s="113"/>
      <c r="AN69" s="113"/>
      <c r="AO69" s="120"/>
      <c r="AP69" s="113"/>
      <c r="AQ69" s="113"/>
      <c r="AR69" s="113"/>
      <c r="AS69" s="113"/>
      <c r="AT69" s="113"/>
      <c r="AU69" s="113"/>
      <c r="AV69" s="120"/>
      <c r="AW69" s="113"/>
      <c r="AX69" s="113"/>
      <c r="AY69" s="113"/>
      <c r="AZ69" s="113"/>
      <c r="BA69" s="113"/>
      <c r="BB69" s="113"/>
      <c r="BC69" s="120"/>
      <c r="BD69" s="113"/>
      <c r="BE69" s="113"/>
      <c r="BF69" s="113"/>
      <c r="BG69" s="113"/>
      <c r="BH69" s="113"/>
      <c r="BI69" s="113"/>
      <c r="BJ69" s="120"/>
      <c r="BK69" s="113"/>
      <c r="BL69" s="113"/>
      <c r="BM69" s="113"/>
      <c r="BN69" s="113"/>
      <c r="BO69" s="113"/>
      <c r="BP69" s="113"/>
      <c r="BQ69" s="120"/>
      <c r="BR69" s="113"/>
      <c r="BS69" s="113"/>
      <c r="BT69" s="113"/>
      <c r="BU69" s="113"/>
      <c r="BV69" s="113"/>
      <c r="BW69" s="113"/>
      <c r="BX69" s="120"/>
      <c r="BY69" s="113"/>
      <c r="BZ69" s="113"/>
      <c r="CA69" s="113"/>
      <c r="CB69" s="113"/>
      <c r="CC69" s="113"/>
      <c r="CD69" s="113"/>
      <c r="CE69" s="120"/>
      <c r="CF69" s="113"/>
      <c r="CG69" s="113"/>
      <c r="CH69" s="113"/>
      <c r="CI69" s="113"/>
      <c r="CJ69" s="113"/>
      <c r="CK69" s="113"/>
      <c r="CL69" s="120"/>
      <c r="CM69" s="113"/>
      <c r="CN69" s="113"/>
    </row>
    <row r="70" spans="2:92" ht="18" customHeight="1" x14ac:dyDescent="0.25">
      <c r="B70" s="113"/>
      <c r="C70" s="114"/>
      <c r="D70" s="112"/>
      <c r="E70" s="112"/>
      <c r="F70" s="120"/>
      <c r="G70" s="113"/>
      <c r="H70" s="113"/>
      <c r="I70" s="113"/>
      <c r="J70" s="113"/>
      <c r="K70" s="113"/>
      <c r="L70" s="113"/>
      <c r="M70" s="120"/>
      <c r="N70" s="113"/>
      <c r="O70" s="113"/>
      <c r="P70" s="113"/>
      <c r="Q70" s="113"/>
      <c r="R70" s="113"/>
      <c r="S70" s="113"/>
      <c r="T70" s="120"/>
      <c r="U70" s="113"/>
      <c r="V70" s="113"/>
      <c r="W70" s="113"/>
      <c r="X70" s="113"/>
      <c r="Y70" s="113"/>
      <c r="Z70" s="113"/>
      <c r="AA70" s="120"/>
      <c r="AB70" s="113"/>
      <c r="AC70" s="113"/>
      <c r="AD70" s="113"/>
      <c r="AE70" s="113"/>
      <c r="AF70" s="113"/>
      <c r="AG70" s="113"/>
      <c r="AH70" s="120"/>
      <c r="AI70" s="113"/>
      <c r="AJ70" s="113"/>
      <c r="AK70" s="113"/>
      <c r="AL70" s="113"/>
      <c r="AM70" s="113"/>
      <c r="AN70" s="113"/>
      <c r="AO70" s="120"/>
      <c r="AP70" s="113"/>
      <c r="AQ70" s="113"/>
      <c r="AR70" s="113"/>
      <c r="AS70" s="113"/>
      <c r="AT70" s="113"/>
      <c r="AU70" s="113"/>
      <c r="AV70" s="120"/>
      <c r="AW70" s="113"/>
      <c r="AX70" s="113"/>
      <c r="AY70" s="113"/>
      <c r="AZ70" s="113"/>
      <c r="BA70" s="113"/>
      <c r="BB70" s="113"/>
      <c r="BC70" s="120"/>
      <c r="BD70" s="113"/>
      <c r="BE70" s="113"/>
      <c r="BF70" s="113"/>
      <c r="BG70" s="113"/>
      <c r="BH70" s="113"/>
      <c r="BI70" s="113"/>
      <c r="BJ70" s="120"/>
      <c r="BK70" s="113"/>
      <c r="BL70" s="113"/>
      <c r="BM70" s="113"/>
      <c r="BN70" s="113"/>
      <c r="BO70" s="113"/>
      <c r="BP70" s="113"/>
      <c r="BQ70" s="120"/>
      <c r="BR70" s="113"/>
      <c r="BS70" s="113"/>
      <c r="BT70" s="113"/>
      <c r="BU70" s="113"/>
      <c r="BV70" s="113"/>
      <c r="BW70" s="113"/>
      <c r="BX70" s="120"/>
      <c r="BY70" s="113"/>
      <c r="BZ70" s="113"/>
      <c r="CA70" s="113"/>
      <c r="CB70" s="113"/>
      <c r="CC70" s="113"/>
      <c r="CD70" s="113"/>
      <c r="CE70" s="120"/>
      <c r="CF70" s="113"/>
      <c r="CG70" s="113"/>
      <c r="CH70" s="113"/>
      <c r="CI70" s="113"/>
      <c r="CJ70" s="113"/>
      <c r="CK70" s="113"/>
      <c r="CL70" s="120"/>
      <c r="CM70" s="113"/>
      <c r="CN70" s="113"/>
    </row>
    <row r="71" spans="2:92" ht="18" customHeight="1" x14ac:dyDescent="0.25">
      <c r="B71" s="113"/>
      <c r="C71" s="114"/>
      <c r="D71" s="112"/>
      <c r="E71" s="112"/>
      <c r="F71" s="120"/>
      <c r="G71" s="113"/>
      <c r="H71" s="113"/>
      <c r="I71" s="113"/>
      <c r="J71" s="113"/>
      <c r="K71" s="113"/>
      <c r="L71" s="113"/>
      <c r="M71" s="120"/>
      <c r="N71" s="113"/>
      <c r="O71" s="113"/>
      <c r="P71" s="113"/>
      <c r="Q71" s="113"/>
      <c r="R71" s="113"/>
      <c r="S71" s="113"/>
      <c r="T71" s="120"/>
      <c r="U71" s="113"/>
      <c r="V71" s="113"/>
      <c r="W71" s="113"/>
      <c r="X71" s="113"/>
      <c r="Y71" s="113"/>
      <c r="Z71" s="113"/>
      <c r="AA71" s="120"/>
      <c r="AB71" s="113"/>
      <c r="AC71" s="113"/>
      <c r="AD71" s="113"/>
      <c r="AE71" s="113"/>
      <c r="AF71" s="113"/>
      <c r="AG71" s="113"/>
      <c r="AH71" s="120"/>
      <c r="AI71" s="113"/>
      <c r="AJ71" s="113"/>
      <c r="AK71" s="113"/>
      <c r="AL71" s="113"/>
      <c r="AM71" s="113"/>
      <c r="AN71" s="113"/>
      <c r="AO71" s="120"/>
      <c r="AP71" s="113"/>
      <c r="AQ71" s="113"/>
      <c r="AR71" s="113"/>
      <c r="AS71" s="113"/>
      <c r="AT71" s="113"/>
      <c r="AU71" s="113"/>
      <c r="AV71" s="120"/>
      <c r="AW71" s="113"/>
      <c r="AX71" s="113"/>
      <c r="AY71" s="113"/>
      <c r="AZ71" s="113"/>
      <c r="BA71" s="113"/>
      <c r="BB71" s="113"/>
      <c r="BC71" s="120"/>
      <c r="BD71" s="113"/>
      <c r="BE71" s="113"/>
      <c r="BF71" s="113"/>
      <c r="BG71" s="113"/>
      <c r="BH71" s="113"/>
      <c r="BI71" s="113"/>
      <c r="BJ71" s="120"/>
      <c r="BK71" s="113"/>
      <c r="BL71" s="113"/>
      <c r="BM71" s="113"/>
      <c r="BN71" s="113"/>
      <c r="BO71" s="113"/>
      <c r="BP71" s="113"/>
      <c r="BQ71" s="120"/>
      <c r="BR71" s="113"/>
      <c r="BS71" s="113"/>
      <c r="BT71" s="113"/>
      <c r="BU71" s="113"/>
      <c r="BV71" s="113"/>
      <c r="BW71" s="113"/>
      <c r="BX71" s="120"/>
      <c r="BY71" s="113"/>
      <c r="BZ71" s="113"/>
      <c r="CA71" s="113"/>
      <c r="CB71" s="113"/>
      <c r="CC71" s="113"/>
      <c r="CD71" s="113"/>
      <c r="CE71" s="120"/>
      <c r="CF71" s="113"/>
      <c r="CG71" s="113"/>
      <c r="CH71" s="113"/>
      <c r="CI71" s="113"/>
      <c r="CJ71" s="113"/>
      <c r="CK71" s="113"/>
      <c r="CL71" s="120"/>
      <c r="CM71" s="113"/>
      <c r="CN71" s="113"/>
    </row>
    <row r="72" spans="2:92" ht="18" customHeight="1" x14ac:dyDescent="0.25">
      <c r="B72" s="113"/>
      <c r="C72" s="114"/>
      <c r="D72" s="112"/>
      <c r="E72" s="112"/>
      <c r="F72" s="120"/>
      <c r="G72" s="113"/>
      <c r="H72" s="113"/>
      <c r="I72" s="113"/>
      <c r="J72" s="113"/>
      <c r="K72" s="113"/>
      <c r="L72" s="113"/>
      <c r="M72" s="120"/>
      <c r="N72" s="113"/>
      <c r="O72" s="113"/>
      <c r="P72" s="113"/>
      <c r="Q72" s="113"/>
      <c r="R72" s="113"/>
      <c r="S72" s="113"/>
      <c r="T72" s="120"/>
      <c r="U72" s="113"/>
      <c r="V72" s="113"/>
      <c r="W72" s="113"/>
      <c r="X72" s="113"/>
      <c r="Y72" s="113"/>
      <c r="Z72" s="113"/>
      <c r="AA72" s="120"/>
      <c r="AB72" s="113"/>
      <c r="AC72" s="113"/>
      <c r="AD72" s="113"/>
      <c r="AE72" s="113"/>
      <c r="AF72" s="113"/>
      <c r="AG72" s="113"/>
      <c r="AH72" s="120"/>
      <c r="AI72" s="113"/>
      <c r="AJ72" s="113"/>
      <c r="AK72" s="113"/>
      <c r="AL72" s="113"/>
      <c r="AM72" s="113"/>
      <c r="AN72" s="113"/>
      <c r="AO72" s="120"/>
      <c r="AP72" s="113"/>
      <c r="AQ72" s="113"/>
      <c r="AR72" s="113"/>
      <c r="AS72" s="113"/>
      <c r="AT72" s="113"/>
      <c r="AU72" s="113"/>
      <c r="AV72" s="120"/>
      <c r="AW72" s="113"/>
      <c r="AX72" s="113"/>
      <c r="AY72" s="113"/>
      <c r="AZ72" s="113"/>
      <c r="BA72" s="113"/>
      <c r="BB72" s="113"/>
      <c r="BC72" s="120"/>
      <c r="BD72" s="113"/>
      <c r="BE72" s="113"/>
      <c r="BF72" s="113"/>
      <c r="BG72" s="113"/>
      <c r="BH72" s="113"/>
      <c r="BI72" s="113"/>
      <c r="BJ72" s="120"/>
      <c r="BK72" s="113"/>
      <c r="BL72" s="113"/>
      <c r="BM72" s="113"/>
      <c r="BN72" s="113"/>
      <c r="BO72" s="113"/>
      <c r="BP72" s="113"/>
      <c r="BQ72" s="120"/>
      <c r="BR72" s="113"/>
      <c r="BS72" s="113"/>
      <c r="BT72" s="113"/>
      <c r="BU72" s="113"/>
      <c r="BV72" s="113"/>
      <c r="BW72" s="113"/>
      <c r="BX72" s="120"/>
      <c r="BY72" s="113"/>
      <c r="BZ72" s="113"/>
      <c r="CA72" s="113"/>
      <c r="CB72" s="113"/>
      <c r="CC72" s="113"/>
      <c r="CD72" s="113"/>
      <c r="CE72" s="120"/>
      <c r="CF72" s="113"/>
      <c r="CG72" s="113"/>
      <c r="CH72" s="113"/>
      <c r="CI72" s="113"/>
      <c r="CJ72" s="113"/>
      <c r="CK72" s="113"/>
      <c r="CL72" s="120"/>
      <c r="CM72" s="113"/>
      <c r="CN72" s="113"/>
    </row>
    <row r="73" spans="2:92" ht="18" customHeight="1" x14ac:dyDescent="0.25">
      <c r="B73" s="113"/>
      <c r="C73" s="114"/>
      <c r="D73" s="112"/>
      <c r="E73" s="112"/>
      <c r="F73" s="120"/>
      <c r="G73" s="113"/>
      <c r="H73" s="113"/>
      <c r="I73" s="113"/>
      <c r="J73" s="113"/>
      <c r="K73" s="113"/>
      <c r="L73" s="113"/>
      <c r="M73" s="120"/>
      <c r="N73" s="113"/>
      <c r="O73" s="113"/>
      <c r="P73" s="113"/>
      <c r="Q73" s="113"/>
      <c r="R73" s="113"/>
      <c r="S73" s="113"/>
      <c r="T73" s="120"/>
      <c r="U73" s="113"/>
      <c r="V73" s="113"/>
      <c r="W73" s="113"/>
      <c r="X73" s="113"/>
      <c r="Y73" s="113"/>
      <c r="Z73" s="113"/>
      <c r="AA73" s="120"/>
      <c r="AB73" s="113"/>
      <c r="AC73" s="113"/>
      <c r="AD73" s="113"/>
      <c r="AE73" s="113"/>
      <c r="AF73" s="113"/>
      <c r="AG73" s="113"/>
      <c r="AH73" s="120"/>
      <c r="AI73" s="113"/>
      <c r="AJ73" s="113"/>
      <c r="AK73" s="113"/>
      <c r="AL73" s="113"/>
      <c r="AM73" s="113"/>
      <c r="AN73" s="113"/>
      <c r="AO73" s="120"/>
      <c r="AP73" s="113"/>
      <c r="AQ73" s="113"/>
      <c r="AR73" s="113"/>
      <c r="AS73" s="113"/>
      <c r="AT73" s="113"/>
      <c r="AU73" s="113"/>
      <c r="AV73" s="120"/>
      <c r="AW73" s="113"/>
      <c r="AX73" s="113"/>
      <c r="AY73" s="113"/>
      <c r="AZ73" s="113"/>
      <c r="BA73" s="113"/>
      <c r="BB73" s="113"/>
      <c r="BC73" s="120"/>
      <c r="BD73" s="113"/>
      <c r="BE73" s="113"/>
      <c r="BF73" s="113"/>
      <c r="BG73" s="113"/>
      <c r="BH73" s="113"/>
      <c r="BI73" s="113"/>
      <c r="BJ73" s="120"/>
      <c r="BK73" s="113"/>
      <c r="BL73" s="113"/>
      <c r="BM73" s="113"/>
      <c r="BN73" s="113"/>
      <c r="BO73" s="113"/>
      <c r="BP73" s="113"/>
      <c r="BQ73" s="120"/>
      <c r="BR73" s="113"/>
      <c r="BS73" s="113"/>
      <c r="BT73" s="113"/>
      <c r="BU73" s="113"/>
      <c r="BV73" s="113"/>
      <c r="BW73" s="113"/>
      <c r="BX73" s="120"/>
      <c r="BY73" s="113"/>
      <c r="BZ73" s="113"/>
      <c r="CA73" s="113"/>
      <c r="CB73" s="113"/>
      <c r="CC73" s="113"/>
      <c r="CD73" s="113"/>
      <c r="CE73" s="120"/>
      <c r="CF73" s="113"/>
      <c r="CG73" s="113"/>
      <c r="CH73" s="113"/>
      <c r="CI73" s="113"/>
      <c r="CJ73" s="113"/>
      <c r="CK73" s="113"/>
      <c r="CL73" s="120"/>
      <c r="CM73" s="113"/>
      <c r="CN73" s="113"/>
    </row>
    <row r="74" spans="2:92" ht="18" customHeight="1" x14ac:dyDescent="0.25">
      <c r="B74" s="113"/>
      <c r="C74" s="114"/>
      <c r="D74" s="112"/>
      <c r="E74" s="112"/>
      <c r="F74" s="120"/>
      <c r="G74" s="113"/>
      <c r="H74" s="113"/>
      <c r="I74" s="113"/>
      <c r="J74" s="113"/>
      <c r="K74" s="113"/>
      <c r="L74" s="113"/>
      <c r="M74" s="120"/>
      <c r="N74" s="113"/>
      <c r="O74" s="113"/>
      <c r="P74" s="113"/>
      <c r="Q74" s="113"/>
      <c r="R74" s="113"/>
      <c r="S74" s="113"/>
      <c r="T74" s="120"/>
      <c r="U74" s="113"/>
      <c r="V74" s="113"/>
      <c r="W74" s="113"/>
      <c r="X74" s="113"/>
      <c r="Y74" s="113"/>
      <c r="Z74" s="113"/>
      <c r="AA74" s="120"/>
      <c r="AB74" s="113"/>
      <c r="AC74" s="113"/>
      <c r="AD74" s="113"/>
      <c r="AE74" s="113"/>
      <c r="AF74" s="113"/>
      <c r="AG74" s="113"/>
      <c r="AH74" s="120"/>
      <c r="AI74" s="113"/>
      <c r="AJ74" s="113"/>
      <c r="AK74" s="113"/>
      <c r="AL74" s="113"/>
      <c r="AM74" s="113"/>
      <c r="AN74" s="113"/>
      <c r="AO74" s="120"/>
      <c r="AP74" s="113"/>
      <c r="AQ74" s="113"/>
      <c r="AR74" s="113"/>
      <c r="AS74" s="113"/>
      <c r="AT74" s="113"/>
      <c r="AU74" s="113"/>
      <c r="AV74" s="120"/>
      <c r="AW74" s="113"/>
      <c r="AX74" s="113"/>
      <c r="AY74" s="113"/>
      <c r="AZ74" s="113"/>
      <c r="BA74" s="113"/>
      <c r="BB74" s="113"/>
      <c r="BC74" s="120"/>
      <c r="BD74" s="113"/>
      <c r="BE74" s="113"/>
      <c r="BF74" s="113"/>
      <c r="BG74" s="113"/>
      <c r="BH74" s="113"/>
      <c r="BI74" s="113"/>
      <c r="BJ74" s="120"/>
      <c r="BK74" s="113"/>
      <c r="BL74" s="113"/>
      <c r="BM74" s="113"/>
      <c r="BN74" s="113"/>
      <c r="BO74" s="113"/>
      <c r="BP74" s="113"/>
      <c r="BQ74" s="120"/>
      <c r="BR74" s="113"/>
      <c r="BS74" s="113"/>
      <c r="BT74" s="113"/>
      <c r="BU74" s="113"/>
      <c r="BV74" s="113"/>
      <c r="BW74" s="113"/>
      <c r="BX74" s="120"/>
      <c r="BY74" s="113"/>
      <c r="BZ74" s="113"/>
      <c r="CA74" s="113"/>
      <c r="CB74" s="113"/>
      <c r="CC74" s="113"/>
      <c r="CD74" s="113"/>
      <c r="CE74" s="120"/>
      <c r="CF74" s="113"/>
      <c r="CG74" s="113"/>
      <c r="CH74" s="113"/>
      <c r="CI74" s="113"/>
      <c r="CJ74" s="113"/>
      <c r="CK74" s="113"/>
      <c r="CL74" s="120"/>
      <c r="CM74" s="113"/>
      <c r="CN74" s="113"/>
    </row>
    <row r="75" spans="2:92" ht="18" customHeight="1" x14ac:dyDescent="0.25">
      <c r="B75" s="113"/>
      <c r="C75" s="114"/>
      <c r="D75" s="112"/>
      <c r="E75" s="112"/>
      <c r="F75" s="120"/>
      <c r="G75" s="113"/>
      <c r="H75" s="113"/>
      <c r="I75" s="113"/>
      <c r="J75" s="113"/>
      <c r="K75" s="113"/>
      <c r="L75" s="113"/>
      <c r="M75" s="120"/>
      <c r="N75" s="113"/>
      <c r="O75" s="113"/>
      <c r="P75" s="113"/>
      <c r="Q75" s="113"/>
      <c r="R75" s="113"/>
      <c r="S75" s="113"/>
      <c r="T75" s="120"/>
      <c r="U75" s="113"/>
      <c r="V75" s="113"/>
      <c r="W75" s="113"/>
      <c r="X75" s="113"/>
      <c r="Y75" s="113"/>
      <c r="Z75" s="113"/>
      <c r="AA75" s="120"/>
      <c r="AB75" s="113"/>
      <c r="AC75" s="113"/>
      <c r="AD75" s="113"/>
      <c r="AE75" s="113"/>
      <c r="AF75" s="113"/>
      <c r="AG75" s="113"/>
      <c r="AH75" s="120"/>
      <c r="AI75" s="113"/>
      <c r="AJ75" s="113"/>
      <c r="AK75" s="113"/>
      <c r="AL75" s="113"/>
      <c r="AM75" s="113"/>
      <c r="AN75" s="113"/>
      <c r="AO75" s="120"/>
      <c r="AP75" s="113"/>
      <c r="AQ75" s="113"/>
      <c r="AR75" s="113"/>
      <c r="AS75" s="113"/>
      <c r="AT75" s="113"/>
      <c r="AU75" s="113"/>
      <c r="AV75" s="120"/>
      <c r="AW75" s="113"/>
      <c r="AX75" s="113"/>
      <c r="AY75" s="113"/>
      <c r="AZ75" s="113"/>
      <c r="BA75" s="113"/>
      <c r="BB75" s="113"/>
      <c r="BC75" s="120"/>
      <c r="BD75" s="113"/>
      <c r="BE75" s="113"/>
      <c r="BF75" s="113"/>
      <c r="BG75" s="113"/>
      <c r="BH75" s="113"/>
      <c r="BI75" s="113"/>
      <c r="BJ75" s="120"/>
      <c r="BK75" s="113"/>
      <c r="BL75" s="113"/>
      <c r="BM75" s="113"/>
      <c r="BN75" s="113"/>
      <c r="BO75" s="113"/>
      <c r="BP75" s="113"/>
      <c r="BQ75" s="120"/>
      <c r="BR75" s="113"/>
      <c r="BS75" s="113"/>
      <c r="BT75" s="113"/>
      <c r="BU75" s="113"/>
      <c r="BV75" s="113"/>
      <c r="BW75" s="113"/>
      <c r="BX75" s="120"/>
      <c r="BY75" s="113"/>
      <c r="BZ75" s="113"/>
      <c r="CA75" s="113"/>
      <c r="CB75" s="113"/>
      <c r="CC75" s="113"/>
      <c r="CD75" s="113"/>
      <c r="CE75" s="120"/>
      <c r="CF75" s="113"/>
      <c r="CG75" s="113"/>
      <c r="CH75" s="113"/>
      <c r="CI75" s="113"/>
      <c r="CJ75" s="113"/>
      <c r="CK75" s="113"/>
      <c r="CL75" s="120"/>
      <c r="CM75" s="113"/>
      <c r="CN75" s="113"/>
    </row>
    <row r="76" spans="2:92" ht="18" customHeight="1" x14ac:dyDescent="0.25">
      <c r="B76" s="113"/>
      <c r="C76" s="114"/>
      <c r="D76" s="112"/>
      <c r="E76" s="112"/>
      <c r="F76" s="120"/>
      <c r="G76" s="113"/>
      <c r="H76" s="113"/>
      <c r="I76" s="113"/>
      <c r="J76" s="113"/>
      <c r="K76" s="113"/>
      <c r="L76" s="113"/>
      <c r="M76" s="120"/>
      <c r="N76" s="113"/>
      <c r="O76" s="113"/>
      <c r="P76" s="113"/>
      <c r="Q76" s="113"/>
      <c r="R76" s="113"/>
      <c r="S76" s="113"/>
      <c r="T76" s="120"/>
      <c r="U76" s="113"/>
      <c r="V76" s="113"/>
      <c r="W76" s="113"/>
      <c r="X76" s="113"/>
      <c r="Y76" s="113"/>
      <c r="Z76" s="113"/>
      <c r="AA76" s="120"/>
      <c r="AB76" s="113"/>
      <c r="AC76" s="113"/>
      <c r="AD76" s="113"/>
      <c r="AE76" s="113"/>
      <c r="AF76" s="113"/>
      <c r="AG76" s="113"/>
      <c r="AH76" s="120"/>
      <c r="AI76" s="113"/>
      <c r="AJ76" s="113"/>
      <c r="AK76" s="113"/>
      <c r="AL76" s="113"/>
      <c r="AM76" s="113"/>
      <c r="AN76" s="113"/>
      <c r="AO76" s="120"/>
      <c r="AP76" s="113"/>
      <c r="AQ76" s="113"/>
      <c r="AR76" s="113"/>
      <c r="AS76" s="113"/>
      <c r="AT76" s="113"/>
      <c r="AU76" s="113"/>
      <c r="AV76" s="120"/>
      <c r="AW76" s="113"/>
      <c r="AX76" s="113"/>
      <c r="AY76" s="113"/>
      <c r="AZ76" s="113"/>
      <c r="BA76" s="113"/>
      <c r="BB76" s="113"/>
      <c r="BC76" s="120"/>
      <c r="BD76" s="113"/>
      <c r="BE76" s="113"/>
      <c r="BF76" s="113"/>
      <c r="BG76" s="113"/>
      <c r="BH76" s="113"/>
      <c r="BI76" s="113"/>
      <c r="BJ76" s="120"/>
      <c r="BK76" s="113"/>
      <c r="BL76" s="113"/>
      <c r="BM76" s="113"/>
      <c r="BN76" s="113"/>
      <c r="BO76" s="113"/>
      <c r="BP76" s="113"/>
      <c r="BQ76" s="120"/>
      <c r="BR76" s="113"/>
      <c r="BS76" s="113"/>
      <c r="BT76" s="113"/>
      <c r="BU76" s="113"/>
      <c r="BV76" s="113"/>
      <c r="BW76" s="113"/>
      <c r="BX76" s="120"/>
      <c r="BY76" s="113"/>
      <c r="BZ76" s="113"/>
      <c r="CA76" s="113"/>
      <c r="CB76" s="113"/>
      <c r="CC76" s="113"/>
      <c r="CD76" s="113"/>
      <c r="CE76" s="120"/>
      <c r="CF76" s="113"/>
      <c r="CG76" s="113"/>
      <c r="CH76" s="113"/>
      <c r="CI76" s="113"/>
      <c r="CJ76" s="113"/>
      <c r="CK76" s="113"/>
      <c r="CL76" s="120"/>
      <c r="CM76" s="113"/>
      <c r="CN76" s="113"/>
    </row>
    <row r="77" spans="2:92" ht="18" customHeight="1" x14ac:dyDescent="0.25">
      <c r="B77" s="113"/>
      <c r="C77" s="114"/>
      <c r="D77" s="112"/>
      <c r="E77" s="112"/>
      <c r="F77" s="120"/>
      <c r="G77" s="113"/>
      <c r="H77" s="113"/>
      <c r="I77" s="113"/>
      <c r="J77" s="113"/>
      <c r="K77" s="113"/>
      <c r="L77" s="113"/>
      <c r="M77" s="120"/>
      <c r="N77" s="113"/>
      <c r="O77" s="113"/>
      <c r="P77" s="113"/>
      <c r="Q77" s="113"/>
      <c r="R77" s="113"/>
      <c r="S77" s="113"/>
      <c r="T77" s="120"/>
      <c r="U77" s="113"/>
      <c r="V77" s="113"/>
      <c r="W77" s="113"/>
      <c r="X77" s="113"/>
      <c r="Y77" s="113"/>
      <c r="Z77" s="113"/>
      <c r="AA77" s="120"/>
      <c r="AB77" s="113"/>
      <c r="AC77" s="113"/>
      <c r="AD77" s="113"/>
      <c r="AE77" s="113"/>
      <c r="AF77" s="113"/>
      <c r="AG77" s="113"/>
      <c r="AH77" s="120"/>
      <c r="AI77" s="113"/>
      <c r="AJ77" s="113"/>
      <c r="AK77" s="113"/>
      <c r="AL77" s="113"/>
      <c r="AM77" s="113"/>
      <c r="AN77" s="113"/>
      <c r="AO77" s="120"/>
      <c r="AP77" s="113"/>
      <c r="AQ77" s="113"/>
      <c r="AR77" s="113"/>
      <c r="AS77" s="113"/>
      <c r="AT77" s="113"/>
      <c r="AU77" s="113"/>
      <c r="AV77" s="120"/>
      <c r="AW77" s="113"/>
      <c r="AX77" s="113"/>
      <c r="AY77" s="113"/>
      <c r="AZ77" s="113"/>
      <c r="BA77" s="113"/>
      <c r="BB77" s="113"/>
      <c r="BC77" s="120"/>
      <c r="BD77" s="113"/>
      <c r="BE77" s="113"/>
      <c r="BF77" s="113"/>
      <c r="BG77" s="113"/>
      <c r="BH77" s="113"/>
      <c r="BI77" s="113"/>
      <c r="BJ77" s="120"/>
      <c r="BK77" s="113"/>
      <c r="BL77" s="113"/>
      <c r="BM77" s="113"/>
      <c r="BN77" s="113"/>
      <c r="BO77" s="113"/>
      <c r="BP77" s="113"/>
      <c r="BQ77" s="120"/>
      <c r="BR77" s="113"/>
      <c r="BS77" s="113"/>
      <c r="BT77" s="113"/>
      <c r="BU77" s="113"/>
      <c r="BV77" s="113"/>
      <c r="BW77" s="113"/>
      <c r="BX77" s="120"/>
      <c r="BY77" s="113"/>
      <c r="BZ77" s="113"/>
      <c r="CA77" s="113"/>
      <c r="CB77" s="113"/>
      <c r="CC77" s="113"/>
      <c r="CD77" s="113"/>
      <c r="CE77" s="120"/>
      <c r="CF77" s="113"/>
      <c r="CG77" s="113"/>
      <c r="CH77" s="113"/>
      <c r="CI77" s="113"/>
      <c r="CJ77" s="113"/>
      <c r="CK77" s="113"/>
      <c r="CL77" s="120"/>
      <c r="CM77" s="113"/>
      <c r="CN77" s="113"/>
    </row>
    <row r="78" spans="2:92" ht="18" customHeight="1" x14ac:dyDescent="0.25">
      <c r="B78" s="113"/>
      <c r="C78" s="114"/>
      <c r="D78" s="112"/>
      <c r="E78" s="112"/>
      <c r="F78" s="120"/>
      <c r="G78" s="113"/>
      <c r="H78" s="113"/>
      <c r="I78" s="113"/>
      <c r="J78" s="113"/>
      <c r="K78" s="113"/>
      <c r="L78" s="113"/>
      <c r="M78" s="120"/>
      <c r="N78" s="113"/>
      <c r="O78" s="113"/>
      <c r="P78" s="113"/>
      <c r="Q78" s="113"/>
      <c r="R78" s="113"/>
      <c r="S78" s="113"/>
      <c r="T78" s="120"/>
      <c r="U78" s="113"/>
      <c r="V78" s="113"/>
      <c r="W78" s="113"/>
      <c r="X78" s="113"/>
      <c r="Y78" s="113"/>
      <c r="Z78" s="113"/>
      <c r="AA78" s="120"/>
      <c r="AB78" s="113"/>
      <c r="AC78" s="113"/>
      <c r="AD78" s="113"/>
      <c r="AE78" s="113"/>
      <c r="AF78" s="113"/>
      <c r="AG78" s="113"/>
      <c r="AH78" s="120"/>
      <c r="AI78" s="113"/>
      <c r="AJ78" s="113"/>
      <c r="AK78" s="113"/>
      <c r="AL78" s="113"/>
      <c r="AM78" s="113"/>
      <c r="AN78" s="113"/>
      <c r="AO78" s="120"/>
      <c r="AP78" s="113"/>
      <c r="AQ78" s="113"/>
      <c r="AR78" s="113"/>
      <c r="AS78" s="113"/>
      <c r="AT78" s="113"/>
      <c r="AU78" s="113"/>
      <c r="AV78" s="120"/>
      <c r="AW78" s="113"/>
      <c r="AX78" s="113"/>
      <c r="AY78" s="113"/>
      <c r="AZ78" s="113"/>
      <c r="BA78" s="113"/>
      <c r="BB78" s="113"/>
      <c r="BC78" s="120"/>
      <c r="BD78" s="113"/>
      <c r="BE78" s="113"/>
      <c r="BF78" s="113"/>
      <c r="BG78" s="113"/>
      <c r="BH78" s="113"/>
      <c r="BI78" s="113"/>
      <c r="BJ78" s="120"/>
      <c r="BK78" s="113"/>
      <c r="BL78" s="113"/>
      <c r="BM78" s="113"/>
      <c r="BN78" s="113"/>
      <c r="BO78" s="113"/>
      <c r="BP78" s="113"/>
      <c r="BQ78" s="120"/>
      <c r="BR78" s="113"/>
      <c r="BS78" s="113"/>
      <c r="BT78" s="113"/>
      <c r="BU78" s="113"/>
      <c r="BV78" s="113"/>
      <c r="BW78" s="113"/>
      <c r="BX78" s="120"/>
      <c r="BY78" s="113"/>
      <c r="BZ78" s="113"/>
      <c r="CA78" s="113"/>
      <c r="CB78" s="113"/>
      <c r="CC78" s="113"/>
      <c r="CD78" s="113"/>
      <c r="CE78" s="120"/>
      <c r="CF78" s="113"/>
      <c r="CG78" s="113"/>
      <c r="CH78" s="113"/>
      <c r="CI78" s="113"/>
      <c r="CJ78" s="113"/>
      <c r="CK78" s="113"/>
      <c r="CL78" s="120"/>
      <c r="CM78" s="113"/>
      <c r="CN78" s="113"/>
    </row>
    <row r="79" spans="2:92" ht="18" customHeight="1" x14ac:dyDescent="0.25">
      <c r="B79" s="113"/>
      <c r="C79" s="114"/>
      <c r="D79" s="112"/>
      <c r="E79" s="112"/>
      <c r="F79" s="120"/>
      <c r="G79" s="113"/>
      <c r="H79" s="113"/>
      <c r="I79" s="113"/>
      <c r="J79" s="113"/>
      <c r="K79" s="113"/>
      <c r="L79" s="113"/>
      <c r="M79" s="120"/>
      <c r="N79" s="113"/>
      <c r="O79" s="113"/>
      <c r="P79" s="113"/>
      <c r="Q79" s="113"/>
      <c r="R79" s="113"/>
      <c r="S79" s="113"/>
      <c r="T79" s="120"/>
      <c r="U79" s="113"/>
      <c r="V79" s="113"/>
      <c r="W79" s="113"/>
      <c r="X79" s="113"/>
      <c r="Y79" s="113"/>
      <c r="Z79" s="113"/>
      <c r="AA79" s="120"/>
      <c r="AB79" s="113"/>
      <c r="AC79" s="113"/>
      <c r="AD79" s="113"/>
      <c r="AE79" s="113"/>
      <c r="AF79" s="113"/>
      <c r="AG79" s="113"/>
      <c r="AH79" s="120"/>
      <c r="AI79" s="113"/>
      <c r="AJ79" s="113"/>
      <c r="AK79" s="113"/>
      <c r="AL79" s="113"/>
      <c r="AM79" s="113"/>
      <c r="AN79" s="113"/>
      <c r="AO79" s="120"/>
      <c r="AP79" s="113"/>
      <c r="AQ79" s="113"/>
      <c r="AR79" s="113"/>
      <c r="AS79" s="113"/>
      <c r="AT79" s="113"/>
      <c r="AU79" s="113"/>
      <c r="AV79" s="120"/>
      <c r="AW79" s="113"/>
      <c r="AX79" s="113"/>
      <c r="AY79" s="113"/>
      <c r="AZ79" s="113"/>
      <c r="BA79" s="113"/>
      <c r="BB79" s="113"/>
      <c r="BC79" s="120"/>
      <c r="BD79" s="113"/>
      <c r="BE79" s="113"/>
      <c r="BF79" s="113"/>
      <c r="BG79" s="113"/>
      <c r="BH79" s="113"/>
      <c r="BI79" s="113"/>
      <c r="BJ79" s="120"/>
      <c r="BK79" s="113"/>
      <c r="BL79" s="113"/>
      <c r="BM79" s="113"/>
      <c r="BN79" s="113"/>
      <c r="BO79" s="113"/>
      <c r="BP79" s="113"/>
      <c r="BQ79" s="120"/>
      <c r="BR79" s="113"/>
      <c r="BS79" s="113"/>
      <c r="BT79" s="113"/>
      <c r="BU79" s="113"/>
      <c r="BV79" s="113"/>
      <c r="BW79" s="113"/>
      <c r="BX79" s="120"/>
      <c r="BY79" s="113"/>
      <c r="BZ79" s="113"/>
      <c r="CA79" s="113"/>
      <c r="CB79" s="113"/>
      <c r="CC79" s="113"/>
      <c r="CD79" s="113"/>
      <c r="CE79" s="120"/>
      <c r="CF79" s="113"/>
      <c r="CG79" s="113"/>
      <c r="CH79" s="113"/>
      <c r="CI79" s="113"/>
      <c r="CJ79" s="113"/>
      <c r="CK79" s="113"/>
      <c r="CL79" s="120"/>
      <c r="CM79" s="113"/>
      <c r="CN79" s="113"/>
    </row>
    <row r="80" spans="2:92" ht="18" customHeight="1" x14ac:dyDescent="0.25">
      <c r="B80" s="113"/>
      <c r="C80" s="114"/>
      <c r="D80" s="112"/>
      <c r="E80" s="112"/>
      <c r="F80" s="120"/>
      <c r="G80" s="113"/>
      <c r="H80" s="113"/>
      <c r="I80" s="113"/>
      <c r="J80" s="113"/>
      <c r="K80" s="113"/>
      <c r="L80" s="113"/>
      <c r="M80" s="120"/>
      <c r="N80" s="113"/>
      <c r="O80" s="113"/>
      <c r="P80" s="113"/>
      <c r="Q80" s="113"/>
      <c r="R80" s="113"/>
      <c r="S80" s="113"/>
      <c r="T80" s="120"/>
      <c r="U80" s="113"/>
      <c r="V80" s="113"/>
      <c r="W80" s="113"/>
      <c r="X80" s="113"/>
      <c r="Y80" s="113"/>
      <c r="Z80" s="113"/>
      <c r="AA80" s="120"/>
      <c r="AB80" s="113"/>
      <c r="AC80" s="113"/>
      <c r="AD80" s="113"/>
      <c r="AE80" s="113"/>
      <c r="AF80" s="113"/>
      <c r="AG80" s="113"/>
      <c r="AH80" s="120"/>
      <c r="AI80" s="113"/>
      <c r="AJ80" s="113"/>
      <c r="AK80" s="113"/>
      <c r="AL80" s="113"/>
      <c r="AM80" s="113"/>
      <c r="AN80" s="113"/>
      <c r="AO80" s="120"/>
      <c r="AP80" s="113"/>
      <c r="AQ80" s="113"/>
      <c r="AR80" s="113"/>
      <c r="AS80" s="113"/>
      <c r="AT80" s="113"/>
      <c r="AU80" s="113"/>
      <c r="AV80" s="120"/>
      <c r="AW80" s="113"/>
      <c r="AX80" s="113"/>
      <c r="AY80" s="113"/>
      <c r="AZ80" s="113"/>
      <c r="BA80" s="113"/>
      <c r="BB80" s="113"/>
      <c r="BC80" s="120"/>
      <c r="BD80" s="113"/>
      <c r="BE80" s="113"/>
      <c r="BF80" s="113"/>
      <c r="BG80" s="113"/>
      <c r="BH80" s="113"/>
      <c r="BI80" s="113"/>
      <c r="BJ80" s="120"/>
      <c r="BK80" s="113"/>
      <c r="BL80" s="113"/>
      <c r="BM80" s="113"/>
      <c r="BN80" s="113"/>
      <c r="BO80" s="113"/>
      <c r="BP80" s="113"/>
      <c r="BQ80" s="120"/>
      <c r="BR80" s="113"/>
      <c r="BS80" s="113"/>
      <c r="BT80" s="113"/>
      <c r="BU80" s="113"/>
      <c r="BV80" s="113"/>
      <c r="BW80" s="113"/>
      <c r="BX80" s="120"/>
      <c r="BY80" s="113"/>
      <c r="BZ80" s="113"/>
      <c r="CA80" s="113"/>
      <c r="CB80" s="113"/>
      <c r="CC80" s="113"/>
      <c r="CD80" s="113"/>
      <c r="CE80" s="120"/>
      <c r="CF80" s="113"/>
      <c r="CG80" s="113"/>
      <c r="CH80" s="113"/>
      <c r="CI80" s="113"/>
      <c r="CJ80" s="113"/>
      <c r="CK80" s="113"/>
      <c r="CL80" s="120"/>
      <c r="CM80" s="113"/>
      <c r="CN80" s="113"/>
    </row>
    <row r="81" spans="2:92" ht="18" customHeight="1" x14ac:dyDescent="0.25">
      <c r="B81" s="113"/>
      <c r="C81" s="114"/>
      <c r="D81" s="112"/>
      <c r="E81" s="112"/>
      <c r="F81" s="120"/>
      <c r="G81" s="113"/>
      <c r="H81" s="113"/>
      <c r="I81" s="113"/>
      <c r="J81" s="113"/>
      <c r="K81" s="113"/>
      <c r="L81" s="113"/>
      <c r="M81" s="120"/>
      <c r="N81" s="113"/>
      <c r="O81" s="113"/>
      <c r="P81" s="113"/>
      <c r="Q81" s="113"/>
      <c r="R81" s="113"/>
      <c r="S81" s="113"/>
      <c r="T81" s="120"/>
      <c r="U81" s="113"/>
      <c r="V81" s="113"/>
      <c r="W81" s="113"/>
      <c r="X81" s="113"/>
      <c r="Y81" s="113"/>
      <c r="Z81" s="113"/>
      <c r="AA81" s="120"/>
      <c r="AB81" s="113"/>
      <c r="AC81" s="113"/>
      <c r="AD81" s="113"/>
      <c r="AE81" s="113"/>
      <c r="AF81" s="113"/>
      <c r="AG81" s="113"/>
      <c r="AH81" s="120"/>
      <c r="AI81" s="113"/>
      <c r="AJ81" s="113"/>
      <c r="AK81" s="113"/>
      <c r="AL81" s="113"/>
      <c r="AM81" s="113"/>
      <c r="AN81" s="113"/>
      <c r="AO81" s="120"/>
      <c r="AP81" s="113"/>
      <c r="AQ81" s="113"/>
      <c r="AR81" s="113"/>
      <c r="AS81" s="113"/>
      <c r="AT81" s="113"/>
      <c r="AU81" s="113"/>
      <c r="AV81" s="120"/>
      <c r="AW81" s="113"/>
      <c r="AX81" s="113"/>
      <c r="AY81" s="113"/>
      <c r="AZ81" s="113"/>
      <c r="BA81" s="113"/>
      <c r="BB81" s="113"/>
      <c r="BC81" s="120"/>
      <c r="BD81" s="113"/>
      <c r="BE81" s="113"/>
      <c r="BF81" s="113"/>
      <c r="BG81" s="113"/>
      <c r="BH81" s="113"/>
      <c r="BI81" s="113"/>
      <c r="BJ81" s="120"/>
      <c r="BK81" s="113"/>
      <c r="BL81" s="113"/>
      <c r="BM81" s="113"/>
      <c r="BN81" s="113"/>
      <c r="BO81" s="113"/>
      <c r="BP81" s="113"/>
      <c r="BQ81" s="120"/>
      <c r="BR81" s="113"/>
      <c r="BS81" s="113"/>
      <c r="BT81" s="113"/>
      <c r="BU81" s="113"/>
      <c r="BV81" s="113"/>
      <c r="BW81" s="113"/>
      <c r="BX81" s="120"/>
      <c r="BY81" s="113"/>
      <c r="BZ81" s="113"/>
      <c r="CA81" s="113"/>
      <c r="CB81" s="113"/>
      <c r="CC81" s="113"/>
      <c r="CD81" s="113"/>
      <c r="CE81" s="120"/>
      <c r="CF81" s="113"/>
      <c r="CG81" s="113"/>
      <c r="CH81" s="113"/>
      <c r="CI81" s="113"/>
      <c r="CJ81" s="113"/>
      <c r="CK81" s="113"/>
      <c r="CL81" s="120"/>
      <c r="CM81" s="113"/>
      <c r="CN81" s="113"/>
    </row>
    <row r="82" spans="2:92" ht="18" customHeight="1" x14ac:dyDescent="0.25">
      <c r="B82" s="113"/>
      <c r="C82" s="114"/>
      <c r="D82" s="112"/>
      <c r="E82" s="112"/>
      <c r="F82" s="120"/>
      <c r="G82" s="113"/>
      <c r="H82" s="113"/>
      <c r="I82" s="113"/>
      <c r="J82" s="113"/>
      <c r="K82" s="113"/>
      <c r="L82" s="113"/>
      <c r="M82" s="120"/>
      <c r="N82" s="113"/>
      <c r="O82" s="113"/>
      <c r="P82" s="113"/>
      <c r="Q82" s="113"/>
      <c r="R82" s="113"/>
      <c r="S82" s="113"/>
      <c r="T82" s="120"/>
      <c r="U82" s="113"/>
      <c r="V82" s="113"/>
      <c r="W82" s="113"/>
      <c r="X82" s="113"/>
      <c r="Y82" s="113"/>
      <c r="Z82" s="113"/>
      <c r="AA82" s="120"/>
      <c r="AB82" s="113"/>
      <c r="AC82" s="113"/>
      <c r="AD82" s="113"/>
      <c r="AE82" s="113"/>
      <c r="AF82" s="113"/>
      <c r="AG82" s="113"/>
      <c r="AH82" s="120"/>
      <c r="AI82" s="113"/>
      <c r="AJ82" s="113"/>
      <c r="AK82" s="113"/>
      <c r="AL82" s="113"/>
      <c r="AM82" s="113"/>
      <c r="AN82" s="113"/>
      <c r="AO82" s="120"/>
      <c r="AP82" s="113"/>
      <c r="AQ82" s="113"/>
      <c r="AR82" s="113"/>
      <c r="AS82" s="113"/>
      <c r="AT82" s="113"/>
      <c r="AU82" s="113"/>
      <c r="AV82" s="120"/>
      <c r="AW82" s="113"/>
      <c r="AX82" s="113"/>
      <c r="AY82" s="113"/>
      <c r="AZ82" s="113"/>
      <c r="BA82" s="113"/>
      <c r="BB82" s="113"/>
      <c r="BC82" s="120"/>
      <c r="BD82" s="113"/>
      <c r="BE82" s="113"/>
      <c r="BF82" s="113"/>
      <c r="BG82" s="113"/>
      <c r="BH82" s="113"/>
      <c r="BI82" s="113"/>
      <c r="BJ82" s="120"/>
      <c r="BK82" s="113"/>
      <c r="BL82" s="113"/>
      <c r="BM82" s="113"/>
      <c r="BN82" s="113"/>
      <c r="BO82" s="113"/>
      <c r="BP82" s="113"/>
      <c r="BQ82" s="120"/>
      <c r="BR82" s="113"/>
      <c r="BS82" s="113"/>
      <c r="BT82" s="113"/>
      <c r="BU82" s="113"/>
      <c r="BV82" s="113"/>
      <c r="BW82" s="113"/>
      <c r="BX82" s="120"/>
      <c r="BY82" s="113"/>
      <c r="BZ82" s="113"/>
      <c r="CA82" s="113"/>
      <c r="CB82" s="113"/>
      <c r="CC82" s="113"/>
      <c r="CD82" s="113"/>
      <c r="CE82" s="120"/>
      <c r="CF82" s="113"/>
      <c r="CG82" s="113"/>
      <c r="CH82" s="113"/>
      <c r="CI82" s="113"/>
      <c r="CJ82" s="113"/>
      <c r="CK82" s="113"/>
      <c r="CL82" s="120"/>
      <c r="CM82" s="113"/>
      <c r="CN82" s="113"/>
    </row>
    <row r="83" spans="2:92" ht="18" customHeight="1" x14ac:dyDescent="0.25">
      <c r="B83" s="113"/>
      <c r="C83" s="114"/>
      <c r="D83" s="112"/>
      <c r="E83" s="112"/>
      <c r="F83" s="120"/>
      <c r="G83" s="113"/>
      <c r="H83" s="113"/>
      <c r="I83" s="113"/>
      <c r="J83" s="113"/>
      <c r="K83" s="113"/>
      <c r="L83" s="113"/>
      <c r="M83" s="120"/>
      <c r="N83" s="113"/>
      <c r="O83" s="113"/>
      <c r="P83" s="113"/>
      <c r="Q83" s="113"/>
      <c r="R83" s="113"/>
      <c r="S83" s="113"/>
      <c r="T83" s="120"/>
      <c r="U83" s="113"/>
      <c r="V83" s="113"/>
      <c r="W83" s="113"/>
      <c r="X83" s="113"/>
      <c r="Y83" s="113"/>
      <c r="Z83" s="113"/>
      <c r="AA83" s="120"/>
      <c r="AB83" s="113"/>
      <c r="AC83" s="113"/>
      <c r="AD83" s="113"/>
      <c r="AE83" s="113"/>
      <c r="AF83" s="113"/>
      <c r="AG83" s="113"/>
      <c r="AH83" s="120"/>
      <c r="AI83" s="113"/>
      <c r="AJ83" s="113"/>
      <c r="AK83" s="113"/>
      <c r="AL83" s="113"/>
      <c r="AM83" s="113"/>
      <c r="AN83" s="113"/>
      <c r="AO83" s="120"/>
      <c r="AP83" s="113"/>
      <c r="AQ83" s="113"/>
      <c r="AR83" s="113"/>
      <c r="AS83" s="113"/>
      <c r="AT83" s="113"/>
      <c r="AU83" s="113"/>
      <c r="AV83" s="120"/>
      <c r="AW83" s="113"/>
      <c r="AX83" s="113"/>
      <c r="AY83" s="113"/>
      <c r="AZ83" s="113"/>
      <c r="BA83" s="113"/>
      <c r="BB83" s="113"/>
      <c r="BC83" s="120"/>
      <c r="BD83" s="113"/>
      <c r="BE83" s="113"/>
      <c r="BF83" s="113"/>
      <c r="BG83" s="113"/>
      <c r="BH83" s="113"/>
      <c r="BI83" s="113"/>
      <c r="BJ83" s="120"/>
      <c r="BK83" s="113"/>
      <c r="BL83" s="113"/>
      <c r="BM83" s="113"/>
      <c r="BN83" s="113"/>
      <c r="BO83" s="113"/>
      <c r="BP83" s="113"/>
      <c r="BQ83" s="120"/>
      <c r="BR83" s="113"/>
      <c r="BS83" s="113"/>
      <c r="BT83" s="113"/>
      <c r="BU83" s="113"/>
      <c r="BV83" s="113"/>
      <c r="BW83" s="113"/>
      <c r="BX83" s="120"/>
      <c r="BY83" s="113"/>
      <c r="BZ83" s="113"/>
      <c r="CA83" s="113"/>
      <c r="CB83" s="113"/>
      <c r="CC83" s="113"/>
      <c r="CD83" s="113"/>
      <c r="CE83" s="120"/>
      <c r="CF83" s="113"/>
      <c r="CG83" s="113"/>
      <c r="CH83" s="113"/>
      <c r="CI83" s="113"/>
      <c r="CJ83" s="113"/>
      <c r="CK83" s="113"/>
      <c r="CL83" s="120"/>
      <c r="CM83" s="113"/>
      <c r="CN83" s="113"/>
    </row>
    <row r="84" spans="2:92" ht="18" customHeight="1" x14ac:dyDescent="0.25">
      <c r="B84" s="113"/>
      <c r="C84" s="114"/>
      <c r="D84" s="112"/>
      <c r="E84" s="112"/>
      <c r="F84" s="120"/>
      <c r="G84" s="113"/>
      <c r="H84" s="113"/>
      <c r="I84" s="113"/>
      <c r="J84" s="113"/>
      <c r="K84" s="113"/>
      <c r="L84" s="113"/>
      <c r="M84" s="120"/>
      <c r="N84" s="113"/>
      <c r="O84" s="113"/>
      <c r="P84" s="113"/>
      <c r="Q84" s="113"/>
      <c r="R84" s="113"/>
      <c r="S84" s="113"/>
      <c r="T84" s="120"/>
      <c r="U84" s="113"/>
      <c r="V84" s="113"/>
      <c r="W84" s="113"/>
      <c r="X84" s="113"/>
      <c r="Y84" s="113"/>
      <c r="Z84" s="113"/>
      <c r="AA84" s="120"/>
      <c r="AB84" s="113"/>
      <c r="AC84" s="113"/>
      <c r="AD84" s="113"/>
      <c r="AE84" s="113"/>
      <c r="AF84" s="113"/>
      <c r="AG84" s="113"/>
      <c r="AH84" s="120"/>
      <c r="AI84" s="113"/>
      <c r="AJ84" s="113"/>
      <c r="AK84" s="113"/>
      <c r="AL84" s="113"/>
      <c r="AM84" s="113"/>
      <c r="AN84" s="113"/>
      <c r="AO84" s="120"/>
      <c r="AP84" s="113"/>
      <c r="AQ84" s="113"/>
      <c r="AR84" s="113"/>
      <c r="AS84" s="113"/>
      <c r="AT84" s="113"/>
      <c r="AU84" s="113"/>
      <c r="AV84" s="120"/>
      <c r="AW84" s="113"/>
      <c r="AX84" s="113"/>
      <c r="AY84" s="113"/>
      <c r="AZ84" s="113"/>
      <c r="BA84" s="113"/>
      <c r="BB84" s="113"/>
      <c r="BC84" s="120"/>
      <c r="BD84" s="113"/>
      <c r="BE84" s="113"/>
      <c r="BF84" s="113"/>
      <c r="BG84" s="113"/>
      <c r="BH84" s="113"/>
      <c r="BI84" s="113"/>
      <c r="BJ84" s="120"/>
      <c r="BK84" s="113"/>
      <c r="BL84" s="113"/>
      <c r="BM84" s="113"/>
      <c r="BN84" s="113"/>
      <c r="BO84" s="113"/>
      <c r="BP84" s="113"/>
      <c r="BQ84" s="120"/>
      <c r="BR84" s="113"/>
      <c r="BS84" s="113"/>
      <c r="BT84" s="113"/>
      <c r="BU84" s="113"/>
      <c r="BV84" s="113"/>
      <c r="BW84" s="113"/>
      <c r="BX84" s="120"/>
      <c r="BY84" s="113"/>
      <c r="BZ84" s="113"/>
      <c r="CA84" s="113"/>
      <c r="CB84" s="113"/>
      <c r="CC84" s="113"/>
      <c r="CD84" s="113"/>
      <c r="CE84" s="120"/>
      <c r="CF84" s="113"/>
      <c r="CG84" s="113"/>
      <c r="CH84" s="113"/>
      <c r="CI84" s="113"/>
      <c r="CJ84" s="113"/>
      <c r="CK84" s="113"/>
      <c r="CL84" s="120"/>
      <c r="CM84" s="113"/>
      <c r="CN84" s="113"/>
    </row>
    <row r="85" spans="2:92" ht="18" customHeight="1" x14ac:dyDescent="0.25">
      <c r="B85" s="113"/>
      <c r="C85" s="114"/>
      <c r="D85" s="112"/>
      <c r="E85" s="112"/>
      <c r="F85" s="120"/>
      <c r="G85" s="113"/>
      <c r="H85" s="113"/>
      <c r="I85" s="113"/>
      <c r="J85" s="113"/>
      <c r="K85" s="113"/>
      <c r="L85" s="113"/>
      <c r="M85" s="120"/>
      <c r="N85" s="113"/>
      <c r="O85" s="113"/>
      <c r="P85" s="113"/>
      <c r="Q85" s="113"/>
      <c r="R85" s="113"/>
      <c r="S85" s="113"/>
      <c r="T85" s="120"/>
      <c r="U85" s="113"/>
      <c r="V85" s="113"/>
      <c r="W85" s="113"/>
      <c r="X85" s="113"/>
      <c r="Y85" s="113"/>
      <c r="Z85" s="113"/>
      <c r="AA85" s="120"/>
      <c r="AB85" s="113"/>
      <c r="AC85" s="113"/>
      <c r="AD85" s="113"/>
      <c r="AE85" s="113"/>
      <c r="AF85" s="113"/>
      <c r="AG85" s="113"/>
      <c r="AH85" s="120"/>
      <c r="AI85" s="113"/>
      <c r="AJ85" s="113"/>
      <c r="AK85" s="113"/>
      <c r="AL85" s="113"/>
      <c r="AM85" s="113"/>
      <c r="AN85" s="113"/>
      <c r="AO85" s="120"/>
      <c r="AP85" s="113"/>
      <c r="AQ85" s="113"/>
      <c r="AR85" s="113"/>
      <c r="AS85" s="113"/>
      <c r="AT85" s="113"/>
      <c r="AU85" s="113"/>
      <c r="AV85" s="120"/>
      <c r="AW85" s="113"/>
      <c r="AX85" s="113"/>
      <c r="AY85" s="113"/>
      <c r="AZ85" s="113"/>
      <c r="BA85" s="113"/>
      <c r="BB85" s="113"/>
      <c r="BC85" s="120"/>
      <c r="BD85" s="113"/>
      <c r="BE85" s="113"/>
      <c r="BF85" s="113"/>
      <c r="BG85" s="113"/>
      <c r="BH85" s="113"/>
      <c r="BI85" s="113"/>
      <c r="BJ85" s="120"/>
      <c r="BK85" s="113"/>
      <c r="BL85" s="113"/>
      <c r="BM85" s="113"/>
      <c r="BN85" s="113"/>
      <c r="BO85" s="113"/>
      <c r="BP85" s="113"/>
      <c r="BQ85" s="120"/>
      <c r="BR85" s="113"/>
      <c r="BS85" s="113"/>
      <c r="BT85" s="113"/>
      <c r="BU85" s="113"/>
      <c r="BV85" s="113"/>
      <c r="BW85" s="113"/>
      <c r="BX85" s="120"/>
      <c r="BY85" s="113"/>
      <c r="BZ85" s="113"/>
      <c r="CA85" s="113"/>
      <c r="CB85" s="113"/>
      <c r="CC85" s="113"/>
      <c r="CD85" s="113"/>
      <c r="CE85" s="120"/>
      <c r="CF85" s="113"/>
      <c r="CG85" s="113"/>
      <c r="CH85" s="113"/>
      <c r="CI85" s="113"/>
      <c r="CJ85" s="113"/>
      <c r="CK85" s="113"/>
      <c r="CL85" s="120"/>
      <c r="CM85" s="113"/>
      <c r="CN85" s="113"/>
    </row>
    <row r="86" spans="2:92" ht="18" customHeight="1" x14ac:dyDescent="0.25">
      <c r="B86" s="113"/>
      <c r="C86" s="114"/>
      <c r="D86" s="112"/>
      <c r="E86" s="112"/>
      <c r="F86" s="120"/>
      <c r="G86" s="113"/>
      <c r="H86" s="113"/>
      <c r="I86" s="113"/>
      <c r="J86" s="113"/>
      <c r="K86" s="113"/>
      <c r="L86" s="113"/>
      <c r="M86" s="120"/>
      <c r="N86" s="113"/>
      <c r="O86" s="113"/>
      <c r="P86" s="113"/>
      <c r="Q86" s="113"/>
      <c r="R86" s="113"/>
      <c r="S86" s="113"/>
      <c r="T86" s="120"/>
      <c r="U86" s="113"/>
      <c r="V86" s="113"/>
      <c r="W86" s="113"/>
      <c r="X86" s="113"/>
      <c r="Y86" s="113"/>
      <c r="Z86" s="113"/>
      <c r="AA86" s="120"/>
      <c r="AB86" s="113"/>
      <c r="AC86" s="113"/>
      <c r="AD86" s="113"/>
      <c r="AE86" s="113"/>
      <c r="AF86" s="113"/>
      <c r="AG86" s="113"/>
      <c r="AH86" s="120"/>
      <c r="AI86" s="113"/>
      <c r="AJ86" s="113"/>
      <c r="AK86" s="113"/>
      <c r="AL86" s="113"/>
      <c r="AM86" s="113"/>
      <c r="AN86" s="113"/>
      <c r="AO86" s="120"/>
      <c r="AP86" s="113"/>
      <c r="AQ86" s="113"/>
      <c r="AR86" s="113"/>
      <c r="AS86" s="113"/>
      <c r="AT86" s="113"/>
      <c r="AU86" s="113"/>
      <c r="AV86" s="120"/>
      <c r="AW86" s="113"/>
      <c r="AX86" s="113"/>
      <c r="AY86" s="113"/>
      <c r="AZ86" s="113"/>
      <c r="BA86" s="113"/>
      <c r="BB86" s="113"/>
      <c r="BC86" s="120"/>
      <c r="BD86" s="113"/>
      <c r="BE86" s="113"/>
      <c r="BF86" s="113"/>
      <c r="BG86" s="113"/>
      <c r="BH86" s="113"/>
      <c r="BI86" s="113"/>
      <c r="BJ86" s="120"/>
      <c r="BK86" s="113"/>
      <c r="BL86" s="113"/>
      <c r="BM86" s="113"/>
      <c r="BN86" s="113"/>
      <c r="BO86" s="113"/>
      <c r="BP86" s="113"/>
      <c r="BQ86" s="120"/>
      <c r="BR86" s="113"/>
      <c r="BS86" s="113"/>
      <c r="BT86" s="113"/>
      <c r="BU86" s="113"/>
      <c r="BV86" s="113"/>
      <c r="BW86" s="113"/>
      <c r="BX86" s="120"/>
      <c r="BY86" s="113"/>
      <c r="BZ86" s="113"/>
      <c r="CA86" s="113"/>
      <c r="CB86" s="113"/>
      <c r="CC86" s="113"/>
      <c r="CD86" s="113"/>
      <c r="CE86" s="120"/>
      <c r="CF86" s="113"/>
      <c r="CG86" s="113"/>
      <c r="CH86" s="113"/>
      <c r="CI86" s="113"/>
      <c r="CJ86" s="113"/>
      <c r="CK86" s="113"/>
      <c r="CL86" s="120"/>
      <c r="CM86" s="113"/>
      <c r="CN86" s="113"/>
    </row>
    <row r="87" spans="2:92" ht="18" customHeight="1" x14ac:dyDescent="0.25">
      <c r="B87" s="113"/>
      <c r="C87" s="114"/>
      <c r="D87" s="112"/>
      <c r="E87" s="112"/>
      <c r="F87" s="120"/>
      <c r="G87" s="113"/>
      <c r="H87" s="113"/>
      <c r="I87" s="113"/>
      <c r="J87" s="113"/>
      <c r="K87" s="113"/>
      <c r="L87" s="113"/>
      <c r="M87" s="120"/>
      <c r="N87" s="113"/>
      <c r="O87" s="113"/>
      <c r="P87" s="113"/>
      <c r="Q87" s="113"/>
      <c r="R87" s="113"/>
      <c r="S87" s="113"/>
      <c r="T87" s="120"/>
      <c r="U87" s="113"/>
      <c r="V87" s="113"/>
      <c r="W87" s="113"/>
      <c r="X87" s="113"/>
      <c r="Y87" s="113"/>
      <c r="Z87" s="113"/>
      <c r="AA87" s="120"/>
      <c r="AB87" s="113"/>
      <c r="AC87" s="113"/>
      <c r="AD87" s="113"/>
      <c r="AE87" s="113"/>
      <c r="AF87" s="113"/>
      <c r="AG87" s="113"/>
      <c r="AH87" s="120"/>
      <c r="AI87" s="113"/>
      <c r="AJ87" s="113"/>
      <c r="AK87" s="113"/>
      <c r="AL87" s="113"/>
      <c r="AM87" s="113"/>
      <c r="AN87" s="113"/>
      <c r="AO87" s="120"/>
      <c r="AP87" s="113"/>
      <c r="AQ87" s="113"/>
      <c r="AR87" s="113"/>
      <c r="AS87" s="113"/>
      <c r="AT87" s="113"/>
      <c r="AU87" s="113"/>
      <c r="AV87" s="120"/>
      <c r="AW87" s="113"/>
      <c r="AX87" s="113"/>
      <c r="AY87" s="113"/>
      <c r="AZ87" s="113"/>
      <c r="BA87" s="113"/>
      <c r="BB87" s="113"/>
      <c r="BC87" s="120"/>
      <c r="BD87" s="113"/>
      <c r="BE87" s="113"/>
      <c r="BF87" s="113"/>
      <c r="BG87" s="113"/>
      <c r="BH87" s="113"/>
      <c r="BI87" s="113"/>
      <c r="BJ87" s="120"/>
      <c r="BK87" s="113"/>
      <c r="BL87" s="113"/>
      <c r="BM87" s="113"/>
      <c r="BN87" s="113"/>
      <c r="BO87" s="113"/>
      <c r="BP87" s="113"/>
      <c r="BQ87" s="120"/>
      <c r="BR87" s="113"/>
      <c r="BS87" s="113"/>
      <c r="BT87" s="113"/>
      <c r="BU87" s="113"/>
      <c r="BV87" s="113"/>
      <c r="BW87" s="113"/>
      <c r="BX87" s="120"/>
      <c r="BY87" s="113"/>
      <c r="BZ87" s="113"/>
      <c r="CA87" s="113"/>
      <c r="CB87" s="113"/>
      <c r="CC87" s="113"/>
      <c r="CD87" s="113"/>
      <c r="CE87" s="120"/>
      <c r="CF87" s="113"/>
      <c r="CG87" s="113"/>
      <c r="CH87" s="113"/>
      <c r="CI87" s="113"/>
      <c r="CJ87" s="113"/>
      <c r="CK87" s="113"/>
      <c r="CL87" s="120"/>
      <c r="CM87" s="113"/>
      <c r="CN87" s="113"/>
    </row>
    <row r="88" spans="2:92" ht="18" customHeight="1" x14ac:dyDescent="0.25">
      <c r="B88" s="113"/>
      <c r="C88" s="114"/>
      <c r="D88" s="112"/>
      <c r="E88" s="112"/>
      <c r="F88" s="120"/>
      <c r="G88" s="113"/>
      <c r="H88" s="113"/>
      <c r="I88" s="113"/>
      <c r="J88" s="113"/>
      <c r="K88" s="113"/>
      <c r="L88" s="113"/>
      <c r="M88" s="120"/>
      <c r="N88" s="113"/>
      <c r="O88" s="113"/>
      <c r="P88" s="113"/>
      <c r="Q88" s="113"/>
      <c r="R88" s="113"/>
      <c r="S88" s="113"/>
      <c r="T88" s="120"/>
      <c r="U88" s="113"/>
      <c r="V88" s="113"/>
      <c r="W88" s="113"/>
      <c r="X88" s="113"/>
      <c r="Y88" s="113"/>
      <c r="Z88" s="113"/>
      <c r="AA88" s="120"/>
      <c r="AB88" s="113"/>
      <c r="AC88" s="113"/>
      <c r="AD88" s="113"/>
      <c r="AE88" s="113"/>
      <c r="AF88" s="113"/>
      <c r="AG88" s="113"/>
      <c r="AH88" s="120"/>
      <c r="AI88" s="113"/>
      <c r="AJ88" s="113"/>
      <c r="AK88" s="113"/>
      <c r="AL88" s="113"/>
      <c r="AM88" s="113"/>
      <c r="AN88" s="113"/>
      <c r="AO88" s="120"/>
      <c r="AP88" s="113"/>
      <c r="AQ88" s="113"/>
      <c r="AR88" s="113"/>
      <c r="AS88" s="113"/>
      <c r="AT88" s="113"/>
      <c r="AU88" s="113"/>
      <c r="AV88" s="120"/>
      <c r="AW88" s="113"/>
      <c r="AX88" s="113"/>
      <c r="AY88" s="113"/>
      <c r="AZ88" s="113"/>
      <c r="BA88" s="113"/>
      <c r="BB88" s="113"/>
      <c r="BC88" s="120"/>
      <c r="BD88" s="113"/>
      <c r="BE88" s="113"/>
      <c r="BF88" s="113"/>
      <c r="BG88" s="113"/>
      <c r="BH88" s="113"/>
      <c r="BI88" s="113"/>
      <c r="BJ88" s="120"/>
      <c r="BK88" s="113"/>
      <c r="BL88" s="113"/>
      <c r="BM88" s="113"/>
      <c r="BN88" s="113"/>
      <c r="BO88" s="113"/>
      <c r="BP88" s="113"/>
      <c r="BQ88" s="120"/>
      <c r="BR88" s="113"/>
      <c r="BS88" s="113"/>
      <c r="BT88" s="113"/>
      <c r="BU88" s="113"/>
      <c r="BV88" s="113"/>
      <c r="BW88" s="113"/>
      <c r="BX88" s="120"/>
      <c r="BY88" s="113"/>
      <c r="BZ88" s="113"/>
      <c r="CA88" s="113"/>
      <c r="CB88" s="113"/>
      <c r="CC88" s="113"/>
      <c r="CD88" s="113"/>
      <c r="CE88" s="120"/>
      <c r="CF88" s="113"/>
      <c r="CG88" s="113"/>
      <c r="CH88" s="113"/>
      <c r="CI88" s="113"/>
      <c r="CJ88" s="113"/>
      <c r="CK88" s="113"/>
      <c r="CL88" s="120"/>
      <c r="CM88" s="113"/>
      <c r="CN88" s="113"/>
    </row>
    <row r="89" spans="2:92" ht="18" customHeight="1" x14ac:dyDescent="0.25">
      <c r="B89" s="113"/>
      <c r="C89" s="114"/>
      <c r="D89" s="112"/>
      <c r="E89" s="112"/>
      <c r="F89" s="120"/>
      <c r="G89" s="113"/>
      <c r="H89" s="113"/>
      <c r="I89" s="113"/>
      <c r="J89" s="113"/>
      <c r="K89" s="113"/>
      <c r="L89" s="113"/>
      <c r="M89" s="120"/>
      <c r="N89" s="113"/>
      <c r="O89" s="113"/>
      <c r="P89" s="113"/>
      <c r="Q89" s="113"/>
      <c r="R89" s="113"/>
      <c r="S89" s="113"/>
      <c r="T89" s="120"/>
      <c r="U89" s="113"/>
      <c r="V89" s="113"/>
      <c r="W89" s="113"/>
      <c r="X89" s="113"/>
      <c r="Y89" s="113"/>
      <c r="Z89" s="113"/>
      <c r="AA89" s="120"/>
      <c r="AB89" s="113"/>
      <c r="AC89" s="113"/>
      <c r="AD89" s="113"/>
      <c r="AE89" s="113"/>
      <c r="AF89" s="113"/>
      <c r="AG89" s="113"/>
      <c r="AH89" s="120"/>
      <c r="AI89" s="113"/>
      <c r="AJ89" s="113"/>
      <c r="AK89" s="113"/>
      <c r="AL89" s="113"/>
      <c r="AM89" s="113"/>
      <c r="AN89" s="113"/>
      <c r="AO89" s="120"/>
      <c r="AP89" s="113"/>
      <c r="AQ89" s="113"/>
      <c r="AR89" s="113"/>
      <c r="AS89" s="113"/>
      <c r="AT89" s="113"/>
      <c r="AU89" s="113"/>
      <c r="AV89" s="120"/>
      <c r="AW89" s="113"/>
      <c r="AX89" s="113"/>
      <c r="AY89" s="113"/>
      <c r="AZ89" s="113"/>
      <c r="BA89" s="113"/>
      <c r="BB89" s="113"/>
      <c r="BC89" s="120"/>
      <c r="BD89" s="113"/>
      <c r="BE89" s="113"/>
      <c r="BF89" s="113"/>
      <c r="BG89" s="113"/>
      <c r="BH89" s="113"/>
      <c r="BI89" s="113"/>
      <c r="BJ89" s="120"/>
      <c r="BK89" s="113"/>
      <c r="BL89" s="113"/>
      <c r="BM89" s="113"/>
      <c r="BN89" s="113"/>
      <c r="BO89" s="113"/>
      <c r="BP89" s="113"/>
      <c r="BQ89" s="120"/>
      <c r="BR89" s="113"/>
      <c r="BS89" s="113"/>
      <c r="BT89" s="113"/>
      <c r="BU89" s="113"/>
      <c r="BV89" s="113"/>
      <c r="BW89" s="113"/>
      <c r="BX89" s="120"/>
      <c r="BY89" s="113"/>
      <c r="BZ89" s="113"/>
      <c r="CA89" s="113"/>
      <c r="CB89" s="113"/>
      <c r="CC89" s="113"/>
      <c r="CD89" s="113"/>
      <c r="CE89" s="120"/>
      <c r="CF89" s="113"/>
      <c r="CG89" s="113"/>
      <c r="CH89" s="113"/>
      <c r="CI89" s="113"/>
      <c r="CJ89" s="113"/>
      <c r="CK89" s="113"/>
      <c r="CL89" s="120"/>
      <c r="CM89" s="113"/>
      <c r="CN89" s="113"/>
    </row>
    <row r="90" spans="2:92" ht="18" customHeight="1" x14ac:dyDescent="0.25">
      <c r="B90" s="113"/>
      <c r="C90" s="114"/>
      <c r="D90" s="112"/>
      <c r="E90" s="112"/>
      <c r="F90" s="120"/>
      <c r="G90" s="113"/>
      <c r="H90" s="113"/>
      <c r="I90" s="113"/>
      <c r="J90" s="113"/>
      <c r="K90" s="113"/>
      <c r="L90" s="113"/>
      <c r="M90" s="120"/>
      <c r="N90" s="113"/>
      <c r="O90" s="113"/>
      <c r="P90" s="113"/>
      <c r="Q90" s="113"/>
      <c r="R90" s="113"/>
      <c r="S90" s="113"/>
      <c r="T90" s="120"/>
      <c r="U90" s="113"/>
      <c r="V90" s="113"/>
      <c r="W90" s="113"/>
      <c r="X90" s="113"/>
      <c r="Y90" s="113"/>
      <c r="Z90" s="113"/>
      <c r="AA90" s="120"/>
      <c r="AB90" s="113"/>
      <c r="AC90" s="113"/>
      <c r="AD90" s="113"/>
      <c r="AE90" s="113"/>
      <c r="AF90" s="113"/>
      <c r="AG90" s="113"/>
      <c r="AH90" s="120"/>
      <c r="AI90" s="113"/>
      <c r="AJ90" s="113"/>
      <c r="AK90" s="113"/>
      <c r="AL90" s="113"/>
      <c r="AM90" s="113"/>
      <c r="AN90" s="113"/>
      <c r="AO90" s="120"/>
      <c r="AP90" s="113"/>
      <c r="AQ90" s="113"/>
      <c r="AR90" s="113"/>
      <c r="AS90" s="113"/>
      <c r="AT90" s="113"/>
      <c r="AU90" s="113"/>
      <c r="AV90" s="120"/>
      <c r="AW90" s="113"/>
      <c r="AX90" s="113"/>
      <c r="AY90" s="113"/>
      <c r="AZ90" s="113"/>
      <c r="BA90" s="113"/>
      <c r="BB90" s="113"/>
      <c r="BC90" s="120"/>
      <c r="BD90" s="113"/>
      <c r="BE90" s="113"/>
      <c r="BF90" s="113"/>
      <c r="BG90" s="113"/>
      <c r="BH90" s="113"/>
      <c r="BI90" s="113"/>
      <c r="BJ90" s="120"/>
      <c r="BK90" s="113"/>
      <c r="BL90" s="113"/>
      <c r="BM90" s="113"/>
      <c r="BN90" s="113"/>
      <c r="BO90" s="113"/>
      <c r="BP90" s="113"/>
      <c r="BQ90" s="120"/>
      <c r="BR90" s="113"/>
      <c r="BS90" s="113"/>
      <c r="BT90" s="113"/>
      <c r="BU90" s="113"/>
      <c r="BV90" s="113"/>
      <c r="BW90" s="113"/>
      <c r="BX90" s="120"/>
      <c r="BY90" s="113"/>
      <c r="BZ90" s="113"/>
      <c r="CA90" s="113"/>
      <c r="CB90" s="113"/>
      <c r="CC90" s="113"/>
      <c r="CD90" s="113"/>
      <c r="CE90" s="120"/>
      <c r="CF90" s="113"/>
      <c r="CG90" s="113"/>
      <c r="CH90" s="113"/>
      <c r="CI90" s="113"/>
      <c r="CJ90" s="113"/>
      <c r="CK90" s="113"/>
      <c r="CL90" s="120"/>
      <c r="CM90" s="113"/>
      <c r="CN90" s="113"/>
    </row>
    <row r="91" spans="2:92" ht="18" customHeight="1" x14ac:dyDescent="0.25">
      <c r="B91" s="113"/>
      <c r="C91" s="114"/>
      <c r="D91" s="112"/>
      <c r="E91" s="112"/>
      <c r="F91" s="120"/>
      <c r="G91" s="113"/>
      <c r="H91" s="113"/>
      <c r="I91" s="113"/>
      <c r="J91" s="113"/>
      <c r="K91" s="113"/>
      <c r="L91" s="113"/>
      <c r="M91" s="120"/>
      <c r="N91" s="113"/>
      <c r="O91" s="113"/>
      <c r="P91" s="113"/>
      <c r="Q91" s="113"/>
      <c r="R91" s="113"/>
      <c r="S91" s="113"/>
      <c r="T91" s="120"/>
      <c r="U91" s="113"/>
      <c r="V91" s="113"/>
      <c r="W91" s="113"/>
      <c r="X91" s="113"/>
      <c r="Y91" s="113"/>
      <c r="Z91" s="113"/>
      <c r="AA91" s="120"/>
      <c r="AB91" s="113"/>
      <c r="AC91" s="113"/>
      <c r="AD91" s="113"/>
      <c r="AE91" s="113"/>
      <c r="AF91" s="113"/>
      <c r="AG91" s="113"/>
      <c r="AH91" s="120"/>
      <c r="AI91" s="113"/>
      <c r="AJ91" s="113"/>
      <c r="AK91" s="113"/>
      <c r="AL91" s="113"/>
      <c r="AM91" s="113"/>
      <c r="AN91" s="113"/>
      <c r="AO91" s="120"/>
      <c r="AP91" s="113"/>
      <c r="AQ91" s="113"/>
      <c r="AR91" s="113"/>
      <c r="AS91" s="113"/>
      <c r="AT91" s="113"/>
      <c r="AU91" s="113"/>
      <c r="AV91" s="120"/>
      <c r="AW91" s="113"/>
      <c r="AX91" s="113"/>
      <c r="AY91" s="113"/>
      <c r="AZ91" s="113"/>
      <c r="BA91" s="113"/>
      <c r="BB91" s="113"/>
      <c r="BC91" s="120"/>
      <c r="BD91" s="113"/>
      <c r="BE91" s="113"/>
      <c r="BF91" s="113"/>
      <c r="BG91" s="113"/>
      <c r="BH91" s="113"/>
      <c r="BI91" s="113"/>
      <c r="BJ91" s="120"/>
      <c r="BK91" s="113"/>
      <c r="BL91" s="113"/>
      <c r="BM91" s="113"/>
      <c r="BN91" s="113"/>
      <c r="BO91" s="113"/>
      <c r="BP91" s="113"/>
      <c r="BQ91" s="120"/>
      <c r="BR91" s="113"/>
      <c r="BS91" s="113"/>
      <c r="BT91" s="113"/>
      <c r="BU91" s="113"/>
      <c r="BV91" s="113"/>
      <c r="BW91" s="113"/>
      <c r="BX91" s="120"/>
      <c r="BY91" s="113"/>
      <c r="BZ91" s="113"/>
      <c r="CA91" s="113"/>
      <c r="CB91" s="113"/>
      <c r="CC91" s="113"/>
      <c r="CD91" s="113"/>
      <c r="CE91" s="120"/>
      <c r="CF91" s="113"/>
      <c r="CG91" s="113"/>
      <c r="CH91" s="113"/>
      <c r="CI91" s="113"/>
      <c r="CJ91" s="113"/>
      <c r="CK91" s="113"/>
      <c r="CL91" s="120"/>
      <c r="CM91" s="113"/>
      <c r="CN91" s="113"/>
    </row>
    <row r="92" spans="2:92" ht="18" customHeight="1" x14ac:dyDescent="0.25">
      <c r="B92" s="113"/>
      <c r="C92" s="114"/>
      <c r="D92" s="112"/>
      <c r="E92" s="112"/>
      <c r="F92" s="120"/>
      <c r="G92" s="113"/>
      <c r="H92" s="113"/>
      <c r="I92" s="113"/>
      <c r="J92" s="113"/>
      <c r="K92" s="113"/>
      <c r="L92" s="113"/>
      <c r="M92" s="120"/>
      <c r="N92" s="113"/>
      <c r="O92" s="113"/>
      <c r="P92" s="113"/>
      <c r="Q92" s="113"/>
      <c r="R92" s="113"/>
      <c r="S92" s="113"/>
      <c r="T92" s="120"/>
      <c r="U92" s="113"/>
      <c r="V92" s="113"/>
      <c r="W92" s="113"/>
      <c r="X92" s="113"/>
      <c r="Y92" s="113"/>
      <c r="Z92" s="113"/>
      <c r="AA92" s="120"/>
      <c r="AB92" s="113"/>
      <c r="AC92" s="113"/>
      <c r="AD92" s="113"/>
      <c r="AE92" s="113"/>
      <c r="AF92" s="113"/>
      <c r="AG92" s="113"/>
      <c r="AH92" s="120"/>
      <c r="AI92" s="113"/>
      <c r="AJ92" s="113"/>
      <c r="AK92" s="113"/>
      <c r="AL92" s="113"/>
      <c r="AM92" s="113"/>
      <c r="AN92" s="113"/>
      <c r="AO92" s="120"/>
      <c r="AP92" s="113"/>
      <c r="AQ92" s="113"/>
      <c r="AR92" s="113"/>
      <c r="AS92" s="113"/>
      <c r="AT92" s="113"/>
      <c r="AU92" s="113"/>
      <c r="AV92" s="120"/>
      <c r="AW92" s="113"/>
      <c r="AX92" s="113"/>
      <c r="AY92" s="113"/>
      <c r="AZ92" s="113"/>
      <c r="BA92" s="113"/>
      <c r="BB92" s="113"/>
      <c r="BC92" s="120"/>
      <c r="BD92" s="113"/>
      <c r="BE92" s="113"/>
      <c r="BF92" s="113"/>
      <c r="BG92" s="113"/>
      <c r="BH92" s="113"/>
      <c r="BI92" s="113"/>
      <c r="BJ92" s="120"/>
      <c r="BK92" s="113"/>
      <c r="BL92" s="113"/>
      <c r="BM92" s="113"/>
      <c r="BN92" s="113"/>
      <c r="BO92" s="113"/>
      <c r="BP92" s="113"/>
      <c r="BQ92" s="120"/>
      <c r="BR92" s="113"/>
      <c r="BS92" s="113"/>
      <c r="BT92" s="113"/>
      <c r="BU92" s="113"/>
      <c r="BV92" s="113"/>
      <c r="BW92" s="113"/>
      <c r="BX92" s="120"/>
      <c r="BY92" s="113"/>
      <c r="BZ92" s="113"/>
      <c r="CA92" s="113"/>
      <c r="CB92" s="113"/>
      <c r="CC92" s="113"/>
      <c r="CD92" s="113"/>
      <c r="CE92" s="120"/>
      <c r="CF92" s="113"/>
      <c r="CG92" s="113"/>
      <c r="CH92" s="113"/>
      <c r="CI92" s="113"/>
      <c r="CJ92" s="113"/>
      <c r="CK92" s="113"/>
      <c r="CL92" s="120"/>
      <c r="CM92" s="113"/>
      <c r="CN92" s="113"/>
    </row>
    <row r="93" spans="2:92" ht="18" customHeight="1" x14ac:dyDescent="0.25">
      <c r="B93" s="113"/>
      <c r="C93" s="114"/>
      <c r="D93" s="112"/>
      <c r="E93" s="112"/>
      <c r="F93" s="120"/>
      <c r="G93" s="113"/>
      <c r="H93" s="113"/>
      <c r="I93" s="113"/>
      <c r="J93" s="113"/>
      <c r="K93" s="113"/>
      <c r="L93" s="113"/>
      <c r="M93" s="120"/>
      <c r="N93" s="113"/>
      <c r="O93" s="113"/>
      <c r="P93" s="113"/>
      <c r="Q93" s="113"/>
      <c r="R93" s="113"/>
      <c r="S93" s="113"/>
      <c r="T93" s="120"/>
      <c r="U93" s="113"/>
      <c r="V93" s="113"/>
      <c r="W93" s="113"/>
      <c r="X93" s="113"/>
      <c r="Y93" s="113"/>
      <c r="Z93" s="113"/>
      <c r="AA93" s="120"/>
      <c r="AB93" s="113"/>
      <c r="AC93" s="113"/>
      <c r="AD93" s="113"/>
      <c r="AE93" s="113"/>
      <c r="AF93" s="113"/>
      <c r="AG93" s="113"/>
      <c r="AH93" s="120"/>
      <c r="AI93" s="113"/>
      <c r="AJ93" s="113"/>
      <c r="AK93" s="113"/>
      <c r="AL93" s="113"/>
      <c r="AM93" s="113"/>
      <c r="AN93" s="113"/>
      <c r="AO93" s="120"/>
      <c r="AP93" s="113"/>
      <c r="AQ93" s="113"/>
      <c r="AR93" s="113"/>
      <c r="AS93" s="113"/>
      <c r="AT93" s="113"/>
      <c r="AU93" s="113"/>
      <c r="AV93" s="120"/>
      <c r="AW93" s="113"/>
      <c r="AX93" s="113"/>
      <c r="AY93" s="113"/>
      <c r="AZ93" s="113"/>
      <c r="BA93" s="113"/>
      <c r="BB93" s="113"/>
      <c r="BC93" s="120"/>
      <c r="BD93" s="113"/>
      <c r="BE93" s="113"/>
      <c r="BF93" s="113"/>
      <c r="BG93" s="113"/>
      <c r="BH93" s="113"/>
      <c r="BI93" s="113"/>
      <c r="BJ93" s="120"/>
      <c r="BK93" s="113"/>
      <c r="BL93" s="113"/>
      <c r="BM93" s="113"/>
      <c r="BN93" s="113"/>
      <c r="BO93" s="113"/>
      <c r="BP93" s="113"/>
      <c r="BQ93" s="120"/>
      <c r="BR93" s="113"/>
      <c r="BS93" s="113"/>
      <c r="BT93" s="113"/>
      <c r="BU93" s="113"/>
      <c r="BV93" s="113"/>
      <c r="BW93" s="113"/>
      <c r="BX93" s="120"/>
      <c r="BY93" s="113"/>
      <c r="BZ93" s="113"/>
      <c r="CA93" s="113"/>
      <c r="CB93" s="113"/>
      <c r="CC93" s="113"/>
      <c r="CD93" s="113"/>
      <c r="CE93" s="120"/>
      <c r="CF93" s="113"/>
      <c r="CG93" s="113"/>
      <c r="CH93" s="113"/>
      <c r="CI93" s="113"/>
      <c r="CJ93" s="113"/>
      <c r="CK93" s="113"/>
      <c r="CL93" s="120"/>
      <c r="CM93" s="113"/>
      <c r="CN93" s="113"/>
    </row>
    <row r="94" spans="2:92" ht="18" customHeight="1" x14ac:dyDescent="0.25">
      <c r="B94" s="113"/>
      <c r="C94" s="114"/>
      <c r="D94" s="112"/>
      <c r="E94" s="112"/>
      <c r="F94" s="120"/>
      <c r="G94" s="113"/>
      <c r="H94" s="113"/>
      <c r="I94" s="113"/>
      <c r="J94" s="113"/>
      <c r="K94" s="113"/>
      <c r="L94" s="113"/>
      <c r="M94" s="120"/>
      <c r="N94" s="113"/>
      <c r="O94" s="113"/>
      <c r="P94" s="113"/>
      <c r="Q94" s="113"/>
      <c r="R94" s="113"/>
      <c r="S94" s="113"/>
      <c r="T94" s="120"/>
      <c r="U94" s="113"/>
      <c r="V94" s="113"/>
      <c r="W94" s="113"/>
      <c r="X94" s="113"/>
      <c r="Y94" s="113"/>
      <c r="Z94" s="113"/>
      <c r="AA94" s="120"/>
      <c r="AB94" s="113"/>
      <c r="AC94" s="113"/>
      <c r="AD94" s="113"/>
      <c r="AE94" s="113"/>
      <c r="AF94" s="113"/>
      <c r="AG94" s="113"/>
      <c r="AH94" s="120"/>
      <c r="AI94" s="113"/>
      <c r="AJ94" s="113"/>
      <c r="AK94" s="113"/>
      <c r="AL94" s="113"/>
      <c r="AM94" s="113"/>
      <c r="AN94" s="113"/>
      <c r="AO94" s="120"/>
      <c r="AP94" s="113"/>
      <c r="AQ94" s="113"/>
      <c r="AR94" s="113"/>
      <c r="AS94" s="113"/>
      <c r="AT94" s="113"/>
      <c r="AU94" s="113"/>
      <c r="AV94" s="120"/>
      <c r="AW94" s="113"/>
      <c r="AX94" s="113"/>
      <c r="AY94" s="113"/>
      <c r="AZ94" s="113"/>
      <c r="BA94" s="113"/>
      <c r="BB94" s="113"/>
      <c r="BC94" s="120"/>
      <c r="BD94" s="113"/>
      <c r="BE94" s="113"/>
      <c r="BF94" s="113"/>
      <c r="BG94" s="113"/>
      <c r="BH94" s="113"/>
      <c r="BI94" s="113"/>
      <c r="BJ94" s="120"/>
      <c r="BK94" s="113"/>
      <c r="BL94" s="113"/>
      <c r="BM94" s="113"/>
      <c r="BN94" s="113"/>
      <c r="BO94" s="113"/>
      <c r="BP94" s="113"/>
      <c r="BQ94" s="120"/>
      <c r="BR94" s="113"/>
      <c r="BS94" s="113"/>
      <c r="BT94" s="113"/>
      <c r="BU94" s="113"/>
      <c r="BV94" s="113"/>
      <c r="BW94" s="113"/>
      <c r="BX94" s="120"/>
      <c r="BY94" s="113"/>
      <c r="BZ94" s="113"/>
      <c r="CA94" s="113"/>
      <c r="CB94" s="113"/>
      <c r="CC94" s="113"/>
      <c r="CD94" s="113"/>
      <c r="CE94" s="120"/>
      <c r="CF94" s="113"/>
      <c r="CG94" s="113"/>
      <c r="CH94" s="113"/>
      <c r="CI94" s="113"/>
      <c r="CJ94" s="113"/>
      <c r="CK94" s="113"/>
      <c r="CL94" s="120"/>
      <c r="CM94" s="113"/>
      <c r="CN94" s="113"/>
    </row>
    <row r="95" spans="2:92" ht="18" customHeight="1" x14ac:dyDescent="0.25">
      <c r="B95" s="113"/>
      <c r="C95" s="114"/>
      <c r="D95" s="112"/>
      <c r="E95" s="112"/>
      <c r="F95" s="120"/>
      <c r="G95" s="113"/>
      <c r="H95" s="113"/>
      <c r="I95" s="113"/>
      <c r="J95" s="113"/>
      <c r="K95" s="113"/>
      <c r="L95" s="113"/>
      <c r="M95" s="120"/>
      <c r="N95" s="113"/>
      <c r="O95" s="113"/>
      <c r="P95" s="113"/>
      <c r="Q95" s="113"/>
      <c r="R95" s="113"/>
      <c r="S95" s="113"/>
      <c r="T95" s="120"/>
      <c r="U95" s="113"/>
      <c r="V95" s="113"/>
      <c r="W95" s="113"/>
      <c r="X95" s="113"/>
      <c r="Y95" s="113"/>
      <c r="Z95" s="113"/>
      <c r="AA95" s="120"/>
      <c r="AB95" s="113"/>
      <c r="AC95" s="113"/>
      <c r="AD95" s="113"/>
      <c r="AE95" s="113"/>
      <c r="AF95" s="113"/>
      <c r="AG95" s="113"/>
      <c r="AH95" s="120"/>
      <c r="AI95" s="113"/>
      <c r="AJ95" s="113"/>
      <c r="AK95" s="113"/>
      <c r="AL95" s="113"/>
      <c r="AM95" s="113"/>
      <c r="AN95" s="113"/>
      <c r="AO95" s="120"/>
      <c r="AP95" s="113"/>
      <c r="AQ95" s="113"/>
      <c r="AR95" s="113"/>
      <c r="AS95" s="113"/>
      <c r="AT95" s="113"/>
      <c r="AU95" s="113"/>
      <c r="AV95" s="120"/>
      <c r="AW95" s="113"/>
      <c r="AX95" s="113"/>
      <c r="AY95" s="113"/>
      <c r="AZ95" s="113"/>
      <c r="BA95" s="113"/>
      <c r="BB95" s="113"/>
      <c r="BC95" s="120"/>
      <c r="BD95" s="113"/>
      <c r="BE95" s="113"/>
      <c r="BF95" s="113"/>
      <c r="BG95" s="113"/>
      <c r="BH95" s="113"/>
      <c r="BI95" s="113"/>
      <c r="BJ95" s="120"/>
      <c r="BK95" s="113"/>
      <c r="BL95" s="113"/>
      <c r="BM95" s="113"/>
      <c r="BN95" s="113"/>
      <c r="BO95" s="113"/>
      <c r="BP95" s="113"/>
      <c r="BQ95" s="120"/>
      <c r="BR95" s="113"/>
      <c r="BS95" s="113"/>
      <c r="BT95" s="113"/>
      <c r="BU95" s="113"/>
      <c r="BV95" s="113"/>
      <c r="BW95" s="113"/>
      <c r="BX95" s="120"/>
      <c r="BY95" s="113"/>
      <c r="BZ95" s="113"/>
      <c r="CA95" s="113"/>
      <c r="CB95" s="113"/>
      <c r="CC95" s="113"/>
      <c r="CD95" s="113"/>
      <c r="CE95" s="120"/>
      <c r="CF95" s="113"/>
      <c r="CG95" s="113"/>
      <c r="CH95" s="113"/>
      <c r="CI95" s="113"/>
      <c r="CJ95" s="113"/>
      <c r="CK95" s="113"/>
      <c r="CL95" s="120"/>
      <c r="CM95" s="113"/>
      <c r="CN95" s="113"/>
    </row>
    <row r="96" spans="2:92" ht="18" customHeight="1" x14ac:dyDescent="0.25">
      <c r="B96" s="113"/>
      <c r="C96" s="114"/>
      <c r="D96" s="112"/>
      <c r="E96" s="112"/>
      <c r="F96" s="120"/>
      <c r="G96" s="113"/>
      <c r="H96" s="113"/>
      <c r="I96" s="113"/>
      <c r="J96" s="113"/>
      <c r="K96" s="113"/>
      <c r="L96" s="113"/>
      <c r="M96" s="120"/>
      <c r="N96" s="113"/>
      <c r="O96" s="113"/>
      <c r="P96" s="113"/>
      <c r="Q96" s="113"/>
      <c r="R96" s="113"/>
      <c r="S96" s="113"/>
      <c r="T96" s="120"/>
      <c r="U96" s="113"/>
      <c r="V96" s="113"/>
      <c r="W96" s="113"/>
      <c r="X96" s="113"/>
      <c r="Y96" s="113"/>
      <c r="Z96" s="113"/>
      <c r="AA96" s="120"/>
      <c r="AB96" s="113"/>
      <c r="AC96" s="113"/>
      <c r="AD96" s="113"/>
      <c r="AE96" s="113"/>
      <c r="AF96" s="113"/>
      <c r="AG96" s="113"/>
      <c r="AH96" s="120"/>
      <c r="AI96" s="113"/>
      <c r="AJ96" s="113"/>
      <c r="AK96" s="113"/>
      <c r="AL96" s="113"/>
      <c r="AM96" s="113"/>
      <c r="AN96" s="113"/>
      <c r="AO96" s="120"/>
      <c r="AP96" s="113"/>
      <c r="AQ96" s="113"/>
      <c r="AR96" s="113"/>
      <c r="AS96" s="113"/>
      <c r="AT96" s="113"/>
      <c r="AU96" s="113"/>
      <c r="AV96" s="120"/>
      <c r="AW96" s="113"/>
      <c r="AX96" s="113"/>
      <c r="AY96" s="113"/>
      <c r="AZ96" s="113"/>
      <c r="BA96" s="113"/>
      <c r="BB96" s="113"/>
      <c r="BC96" s="120"/>
      <c r="BD96" s="113"/>
      <c r="BE96" s="113"/>
      <c r="BF96" s="113"/>
      <c r="BG96" s="113"/>
      <c r="BH96" s="113"/>
      <c r="BI96" s="113"/>
      <c r="BJ96" s="120"/>
      <c r="BK96" s="113"/>
      <c r="BL96" s="113"/>
      <c r="BM96" s="113"/>
      <c r="BN96" s="113"/>
      <c r="BO96" s="113"/>
      <c r="BP96" s="113"/>
      <c r="BQ96" s="120"/>
      <c r="BR96" s="113"/>
      <c r="BS96" s="113"/>
      <c r="BT96" s="113"/>
      <c r="BU96" s="113"/>
      <c r="BV96" s="113"/>
      <c r="BW96" s="113"/>
      <c r="BX96" s="120"/>
      <c r="BY96" s="113"/>
      <c r="BZ96" s="113"/>
      <c r="CA96" s="113"/>
      <c r="CB96" s="113"/>
      <c r="CC96" s="113"/>
      <c r="CD96" s="113"/>
      <c r="CE96" s="120"/>
      <c r="CF96" s="113"/>
      <c r="CG96" s="113"/>
      <c r="CH96" s="113"/>
      <c r="CI96" s="113"/>
      <c r="CJ96" s="113"/>
      <c r="CK96" s="113"/>
      <c r="CL96" s="120"/>
      <c r="CM96" s="113"/>
      <c r="CN96" s="113"/>
    </row>
    <row r="97" spans="2:92" ht="18" customHeight="1" x14ac:dyDescent="0.25">
      <c r="B97" s="113"/>
      <c r="C97" s="114"/>
      <c r="D97" s="112"/>
      <c r="E97" s="112"/>
      <c r="F97" s="120"/>
      <c r="G97" s="113"/>
      <c r="H97" s="113"/>
      <c r="I97" s="113"/>
      <c r="J97" s="113"/>
      <c r="K97" s="113"/>
      <c r="L97" s="113"/>
      <c r="M97" s="120"/>
      <c r="N97" s="113"/>
      <c r="O97" s="113"/>
      <c r="P97" s="113"/>
      <c r="Q97" s="113"/>
      <c r="R97" s="113"/>
      <c r="S97" s="113"/>
      <c r="T97" s="120"/>
      <c r="U97" s="113"/>
      <c r="V97" s="113"/>
      <c r="W97" s="113"/>
      <c r="X97" s="113"/>
      <c r="Y97" s="113"/>
      <c r="Z97" s="113"/>
      <c r="AA97" s="120"/>
      <c r="AB97" s="113"/>
      <c r="AC97" s="113"/>
      <c r="AD97" s="113"/>
      <c r="AE97" s="113"/>
      <c r="AF97" s="113"/>
      <c r="AG97" s="113"/>
      <c r="AH97" s="120"/>
      <c r="AI97" s="113"/>
      <c r="AJ97" s="113"/>
      <c r="AK97" s="113"/>
      <c r="AL97" s="113"/>
      <c r="AM97" s="113"/>
      <c r="AN97" s="113"/>
      <c r="AO97" s="120"/>
      <c r="AP97" s="113"/>
      <c r="AQ97" s="113"/>
      <c r="AR97" s="113"/>
      <c r="AS97" s="113"/>
      <c r="AT97" s="113"/>
      <c r="AU97" s="113"/>
      <c r="AV97" s="120"/>
      <c r="AW97" s="113"/>
      <c r="AX97" s="113"/>
      <c r="AY97" s="113"/>
      <c r="AZ97" s="113"/>
      <c r="BA97" s="113"/>
      <c r="BB97" s="113"/>
      <c r="BC97" s="120"/>
      <c r="BD97" s="113"/>
      <c r="BE97" s="113"/>
      <c r="BF97" s="113"/>
      <c r="BG97" s="113"/>
      <c r="BH97" s="113"/>
      <c r="BI97" s="113"/>
      <c r="BJ97" s="120"/>
      <c r="BK97" s="113"/>
      <c r="BL97" s="113"/>
      <c r="BM97" s="113"/>
      <c r="BN97" s="113"/>
      <c r="BO97" s="113"/>
      <c r="BP97" s="113"/>
      <c r="BQ97" s="120"/>
      <c r="BR97" s="113"/>
      <c r="BS97" s="113"/>
      <c r="BT97" s="113"/>
      <c r="BU97" s="113"/>
      <c r="BV97" s="113"/>
      <c r="BW97" s="113"/>
      <c r="BX97" s="120"/>
      <c r="BY97" s="113"/>
      <c r="BZ97" s="113"/>
      <c r="CA97" s="113"/>
      <c r="CB97" s="113"/>
      <c r="CC97" s="113"/>
      <c r="CD97" s="113"/>
      <c r="CE97" s="120"/>
      <c r="CF97" s="113"/>
      <c r="CG97" s="113"/>
      <c r="CH97" s="113"/>
      <c r="CI97" s="113"/>
      <c r="CJ97" s="113"/>
      <c r="CK97" s="113"/>
      <c r="CL97" s="120"/>
      <c r="CM97" s="113"/>
      <c r="CN97" s="113"/>
    </row>
    <row r="98" spans="2:92" ht="18" customHeight="1" x14ac:dyDescent="0.25">
      <c r="B98" s="113"/>
      <c r="C98" s="114"/>
      <c r="D98" s="112"/>
      <c r="E98" s="112"/>
      <c r="F98" s="120"/>
      <c r="G98" s="113"/>
      <c r="H98" s="113"/>
      <c r="I98" s="113"/>
      <c r="J98" s="113"/>
      <c r="K98" s="113"/>
      <c r="L98" s="113"/>
      <c r="M98" s="120"/>
      <c r="N98" s="113"/>
      <c r="O98" s="113"/>
      <c r="P98" s="113"/>
      <c r="Q98" s="113"/>
      <c r="R98" s="113"/>
      <c r="S98" s="113"/>
      <c r="T98" s="120"/>
      <c r="U98" s="113"/>
      <c r="V98" s="113"/>
      <c r="W98" s="113"/>
      <c r="X98" s="113"/>
      <c r="Y98" s="113"/>
      <c r="Z98" s="113"/>
      <c r="AA98" s="120"/>
      <c r="AB98" s="113"/>
      <c r="AC98" s="113"/>
      <c r="AD98" s="113"/>
      <c r="AE98" s="113"/>
      <c r="AF98" s="113"/>
      <c r="AG98" s="113"/>
      <c r="AH98" s="120"/>
      <c r="AI98" s="113"/>
      <c r="AJ98" s="113"/>
      <c r="AK98" s="113"/>
      <c r="AL98" s="113"/>
      <c r="AM98" s="113"/>
      <c r="AN98" s="113"/>
      <c r="AO98" s="120"/>
      <c r="AP98" s="113"/>
      <c r="AQ98" s="113"/>
      <c r="AR98" s="113"/>
      <c r="AS98" s="113"/>
      <c r="AT98" s="113"/>
      <c r="AU98" s="113"/>
      <c r="AV98" s="120"/>
      <c r="AW98" s="113"/>
      <c r="AX98" s="113"/>
      <c r="AY98" s="113"/>
      <c r="AZ98" s="113"/>
      <c r="BA98" s="113"/>
      <c r="BB98" s="113"/>
      <c r="BC98" s="120"/>
      <c r="BD98" s="113"/>
      <c r="BE98" s="113"/>
      <c r="BF98" s="113"/>
      <c r="BG98" s="113"/>
      <c r="BH98" s="113"/>
      <c r="BI98" s="113"/>
      <c r="BJ98" s="120"/>
      <c r="BK98" s="113"/>
      <c r="BL98" s="113"/>
      <c r="BM98" s="113"/>
      <c r="BN98" s="113"/>
      <c r="BO98" s="113"/>
      <c r="BP98" s="113"/>
      <c r="BQ98" s="120"/>
      <c r="BR98" s="113"/>
      <c r="BS98" s="113"/>
      <c r="BT98" s="113"/>
      <c r="BU98" s="113"/>
      <c r="BV98" s="113"/>
      <c r="BW98" s="113"/>
      <c r="BX98" s="120"/>
      <c r="BY98" s="113"/>
      <c r="BZ98" s="113"/>
      <c r="CA98" s="113"/>
      <c r="CB98" s="113"/>
      <c r="CC98" s="113"/>
      <c r="CD98" s="113"/>
      <c r="CE98" s="120"/>
      <c r="CF98" s="113"/>
      <c r="CG98" s="113"/>
      <c r="CH98" s="113"/>
      <c r="CI98" s="113"/>
      <c r="CJ98" s="113"/>
      <c r="CK98" s="113"/>
      <c r="CL98" s="120"/>
      <c r="CM98" s="113"/>
      <c r="CN98" s="113"/>
    </row>
    <row r="99" spans="2:92" ht="18" customHeight="1" x14ac:dyDescent="0.25">
      <c r="B99" s="113"/>
      <c r="C99" s="114"/>
      <c r="D99" s="112"/>
      <c r="E99" s="112"/>
      <c r="F99" s="120"/>
      <c r="G99" s="113"/>
      <c r="H99" s="113"/>
      <c r="I99" s="113"/>
      <c r="J99" s="113"/>
      <c r="K99" s="113"/>
      <c r="L99" s="113"/>
      <c r="M99" s="120"/>
      <c r="N99" s="113"/>
      <c r="O99" s="113"/>
      <c r="P99" s="113"/>
      <c r="Q99" s="113"/>
      <c r="R99" s="113"/>
      <c r="S99" s="113"/>
      <c r="T99" s="120"/>
      <c r="U99" s="113"/>
      <c r="V99" s="113"/>
      <c r="W99" s="113"/>
      <c r="X99" s="113"/>
      <c r="Y99" s="113"/>
      <c r="Z99" s="113"/>
      <c r="AA99" s="120"/>
      <c r="AB99" s="113"/>
      <c r="AC99" s="113"/>
      <c r="AD99" s="113"/>
      <c r="AE99" s="113"/>
      <c r="AF99" s="113"/>
      <c r="AG99" s="113"/>
      <c r="AH99" s="120"/>
      <c r="AI99" s="113"/>
      <c r="AJ99" s="113"/>
      <c r="AK99" s="113"/>
      <c r="AL99" s="113"/>
      <c r="AM99" s="113"/>
      <c r="AN99" s="113"/>
      <c r="AO99" s="120"/>
      <c r="AP99" s="113"/>
      <c r="AQ99" s="113"/>
      <c r="AR99" s="113"/>
      <c r="AS99" s="113"/>
      <c r="AT99" s="113"/>
      <c r="AU99" s="113"/>
      <c r="AV99" s="120"/>
      <c r="AW99" s="113"/>
      <c r="AX99" s="113"/>
      <c r="AY99" s="113"/>
      <c r="AZ99" s="113"/>
      <c r="BA99" s="113"/>
      <c r="BB99" s="113"/>
      <c r="BC99" s="120"/>
      <c r="BD99" s="113"/>
      <c r="BE99" s="113"/>
      <c r="BF99" s="113"/>
      <c r="BG99" s="113"/>
      <c r="BH99" s="113"/>
      <c r="BI99" s="113"/>
      <c r="BJ99" s="120"/>
      <c r="BK99" s="113"/>
      <c r="BL99" s="113"/>
      <c r="BM99" s="113"/>
      <c r="BN99" s="113"/>
      <c r="BO99" s="113"/>
      <c r="BP99" s="113"/>
      <c r="BQ99" s="120"/>
      <c r="BR99" s="113"/>
      <c r="BS99" s="113"/>
      <c r="BT99" s="113"/>
      <c r="BU99" s="113"/>
      <c r="BV99" s="113"/>
      <c r="BW99" s="113"/>
      <c r="BX99" s="120"/>
      <c r="BY99" s="113"/>
      <c r="BZ99" s="113"/>
      <c r="CA99" s="113"/>
      <c r="CB99" s="113"/>
      <c r="CC99" s="113"/>
      <c r="CD99" s="113"/>
      <c r="CE99" s="120"/>
      <c r="CF99" s="113"/>
      <c r="CG99" s="113"/>
      <c r="CH99" s="113"/>
      <c r="CI99" s="113"/>
      <c r="CJ99" s="113"/>
      <c r="CK99" s="113"/>
      <c r="CL99" s="120"/>
      <c r="CM99" s="113"/>
      <c r="CN99" s="113"/>
    </row>
    <row r="100" spans="2:92" ht="18" customHeight="1" x14ac:dyDescent="0.25">
      <c r="B100" s="113"/>
      <c r="C100" s="114"/>
      <c r="D100" s="112"/>
      <c r="E100" s="112"/>
      <c r="F100" s="120"/>
      <c r="G100" s="113"/>
      <c r="H100" s="113"/>
      <c r="I100" s="113"/>
      <c r="J100" s="113"/>
      <c r="K100" s="113"/>
      <c r="L100" s="113"/>
      <c r="M100" s="120"/>
      <c r="N100" s="113"/>
      <c r="O100" s="113"/>
      <c r="P100" s="113"/>
      <c r="Q100" s="113"/>
      <c r="R100" s="113"/>
      <c r="S100" s="113"/>
      <c r="T100" s="120"/>
      <c r="U100" s="113"/>
      <c r="V100" s="113"/>
      <c r="W100" s="113"/>
      <c r="X100" s="113"/>
      <c r="Y100" s="113"/>
      <c r="Z100" s="113"/>
      <c r="AA100" s="120"/>
      <c r="AB100" s="113"/>
      <c r="AC100" s="113"/>
      <c r="AD100" s="113"/>
      <c r="AE100" s="113"/>
      <c r="AF100" s="113"/>
      <c r="AG100" s="113"/>
      <c r="AH100" s="120"/>
      <c r="AI100" s="113"/>
      <c r="AJ100" s="113"/>
      <c r="AK100" s="113"/>
      <c r="AL100" s="113"/>
      <c r="AM100" s="113"/>
      <c r="AN100" s="113"/>
      <c r="AO100" s="120"/>
      <c r="AP100" s="113"/>
      <c r="AQ100" s="113"/>
      <c r="AR100" s="113"/>
      <c r="AS100" s="113"/>
      <c r="AT100" s="113"/>
      <c r="AU100" s="113"/>
      <c r="AV100" s="120"/>
      <c r="AW100" s="113"/>
      <c r="AX100" s="113"/>
      <c r="AY100" s="113"/>
      <c r="AZ100" s="113"/>
      <c r="BA100" s="113"/>
      <c r="BB100" s="113"/>
      <c r="BC100" s="120"/>
      <c r="BD100" s="113"/>
      <c r="BE100" s="113"/>
      <c r="BF100" s="113"/>
      <c r="BG100" s="113"/>
      <c r="BH100" s="113"/>
      <c r="BI100" s="113"/>
      <c r="BJ100" s="120"/>
      <c r="BK100" s="113"/>
      <c r="BL100" s="113"/>
      <c r="BM100" s="113"/>
      <c r="BN100" s="113"/>
      <c r="BO100" s="113"/>
      <c r="BP100" s="113"/>
      <c r="BQ100" s="120"/>
      <c r="BR100" s="113"/>
      <c r="BS100" s="113"/>
      <c r="BT100" s="113"/>
      <c r="BU100" s="113"/>
      <c r="BV100" s="113"/>
      <c r="BW100" s="113"/>
      <c r="BX100" s="120"/>
      <c r="BY100" s="113"/>
      <c r="BZ100" s="113"/>
      <c r="CA100" s="113"/>
      <c r="CB100" s="113"/>
      <c r="CC100" s="113"/>
      <c r="CD100" s="113"/>
      <c r="CE100" s="120"/>
      <c r="CF100" s="113"/>
      <c r="CG100" s="113"/>
      <c r="CH100" s="113"/>
      <c r="CI100" s="113"/>
      <c r="CJ100" s="113"/>
      <c r="CK100" s="113"/>
      <c r="CL100" s="120"/>
      <c r="CM100" s="113"/>
      <c r="CN100" s="113"/>
    </row>
    <row r="101" spans="2:92" ht="18" customHeight="1" x14ac:dyDescent="0.25">
      <c r="B101" s="113"/>
      <c r="C101" s="114"/>
      <c r="D101" s="112"/>
      <c r="E101" s="112"/>
      <c r="F101" s="120"/>
      <c r="G101" s="113"/>
      <c r="H101" s="113"/>
      <c r="I101" s="113"/>
      <c r="J101" s="113"/>
      <c r="K101" s="113"/>
      <c r="L101" s="113"/>
      <c r="M101" s="120"/>
      <c r="N101" s="113"/>
      <c r="O101" s="113"/>
      <c r="P101" s="113"/>
      <c r="Q101" s="113"/>
      <c r="R101" s="113"/>
      <c r="S101" s="113"/>
      <c r="T101" s="120"/>
      <c r="U101" s="113"/>
      <c r="V101" s="113"/>
      <c r="W101" s="113"/>
      <c r="X101" s="113"/>
      <c r="Y101" s="113"/>
      <c r="Z101" s="113"/>
      <c r="AA101" s="120"/>
      <c r="AB101" s="113"/>
      <c r="AC101" s="113"/>
      <c r="AD101" s="113"/>
      <c r="AE101" s="113"/>
      <c r="AF101" s="113"/>
      <c r="AG101" s="113"/>
      <c r="AH101" s="120"/>
      <c r="AI101" s="113"/>
      <c r="AJ101" s="113"/>
      <c r="AK101" s="113"/>
      <c r="AL101" s="113"/>
      <c r="AM101" s="113"/>
      <c r="AN101" s="113"/>
      <c r="AO101" s="120"/>
      <c r="AP101" s="113"/>
      <c r="AQ101" s="113"/>
      <c r="AR101" s="113"/>
      <c r="AS101" s="113"/>
      <c r="AT101" s="113"/>
      <c r="AU101" s="113"/>
      <c r="AV101" s="120"/>
      <c r="AW101" s="113"/>
      <c r="AX101" s="113"/>
      <c r="AY101" s="113"/>
      <c r="AZ101" s="113"/>
      <c r="BA101" s="113"/>
      <c r="BB101" s="113"/>
      <c r="BC101" s="120"/>
      <c r="BD101" s="113"/>
      <c r="BE101" s="113"/>
      <c r="BF101" s="113"/>
      <c r="BG101" s="113"/>
      <c r="BH101" s="113"/>
      <c r="BI101" s="113"/>
      <c r="BJ101" s="120"/>
      <c r="BK101" s="113"/>
      <c r="BL101" s="113"/>
      <c r="BM101" s="113"/>
      <c r="BN101" s="113"/>
      <c r="BO101" s="113"/>
      <c r="BP101" s="113"/>
      <c r="BQ101" s="120"/>
      <c r="BR101" s="113"/>
      <c r="BS101" s="113"/>
      <c r="BT101" s="113"/>
      <c r="BU101" s="113"/>
      <c r="BV101" s="113"/>
      <c r="BW101" s="113"/>
      <c r="BX101" s="120"/>
      <c r="BY101" s="113"/>
      <c r="BZ101" s="113"/>
      <c r="CA101" s="113"/>
      <c r="CB101" s="113"/>
      <c r="CC101" s="113"/>
      <c r="CD101" s="113"/>
      <c r="CE101" s="120"/>
      <c r="CF101" s="113"/>
      <c r="CG101" s="113"/>
      <c r="CH101" s="113"/>
      <c r="CI101" s="113"/>
      <c r="CJ101" s="113"/>
      <c r="CK101" s="113"/>
      <c r="CL101" s="120"/>
      <c r="CM101" s="113"/>
      <c r="CN101" s="113"/>
    </row>
    <row r="102" spans="2:92" ht="18" customHeight="1" x14ac:dyDescent="0.25">
      <c r="B102" s="113"/>
      <c r="C102" s="114"/>
      <c r="D102" s="112"/>
      <c r="E102" s="112"/>
      <c r="F102" s="120"/>
      <c r="G102" s="113"/>
      <c r="H102" s="113"/>
      <c r="I102" s="113"/>
      <c r="J102" s="113"/>
      <c r="K102" s="113"/>
      <c r="L102" s="113"/>
      <c r="M102" s="120"/>
      <c r="N102" s="113"/>
      <c r="O102" s="113"/>
      <c r="P102" s="113"/>
      <c r="Q102" s="113"/>
      <c r="R102" s="113"/>
      <c r="S102" s="113"/>
      <c r="T102" s="120"/>
      <c r="U102" s="113"/>
      <c r="V102" s="113"/>
      <c r="W102" s="113"/>
      <c r="X102" s="113"/>
      <c r="Y102" s="113"/>
      <c r="Z102" s="113"/>
      <c r="AA102" s="120"/>
      <c r="AB102" s="113"/>
      <c r="AC102" s="113"/>
      <c r="AD102" s="113"/>
      <c r="AE102" s="113"/>
      <c r="AF102" s="113"/>
      <c r="AG102" s="113"/>
      <c r="AH102" s="120"/>
      <c r="AI102" s="113"/>
      <c r="AJ102" s="113"/>
      <c r="AK102" s="113"/>
      <c r="AL102" s="113"/>
      <c r="AM102" s="113"/>
      <c r="AN102" s="113"/>
      <c r="AO102" s="120"/>
      <c r="AP102" s="113"/>
      <c r="AQ102" s="113"/>
      <c r="AR102" s="113"/>
      <c r="AS102" s="113"/>
      <c r="AT102" s="113"/>
      <c r="AU102" s="113"/>
      <c r="AV102" s="120"/>
      <c r="AW102" s="113"/>
      <c r="AX102" s="113"/>
      <c r="AY102" s="113"/>
      <c r="AZ102" s="113"/>
      <c r="BA102" s="113"/>
      <c r="BB102" s="113"/>
      <c r="BC102" s="120"/>
      <c r="BD102" s="113"/>
      <c r="BE102" s="113"/>
      <c r="BF102" s="113"/>
      <c r="BG102" s="113"/>
      <c r="BH102" s="113"/>
      <c r="BI102" s="113"/>
      <c r="BJ102" s="120"/>
      <c r="BK102" s="113"/>
      <c r="BL102" s="113"/>
      <c r="BM102" s="113"/>
      <c r="BN102" s="113"/>
      <c r="BO102" s="113"/>
      <c r="BP102" s="113"/>
      <c r="BQ102" s="120"/>
      <c r="BR102" s="113"/>
      <c r="BS102" s="113"/>
      <c r="BT102" s="113"/>
      <c r="BU102" s="113"/>
      <c r="BV102" s="113"/>
      <c r="BW102" s="113"/>
      <c r="BX102" s="120"/>
      <c r="BY102" s="113"/>
      <c r="BZ102" s="113"/>
      <c r="CA102" s="113"/>
      <c r="CB102" s="113"/>
      <c r="CC102" s="113"/>
      <c r="CD102" s="113"/>
      <c r="CE102" s="120"/>
      <c r="CF102" s="113"/>
      <c r="CG102" s="113"/>
      <c r="CH102" s="113"/>
      <c r="CI102" s="113"/>
      <c r="CJ102" s="113"/>
      <c r="CK102" s="113"/>
      <c r="CL102" s="120"/>
      <c r="CM102" s="113"/>
      <c r="CN102" s="113"/>
    </row>
    <row r="103" spans="2:92" ht="18" customHeight="1" x14ac:dyDescent="0.25">
      <c r="B103" s="113"/>
      <c r="C103" s="114"/>
      <c r="D103" s="112"/>
      <c r="E103" s="112"/>
      <c r="F103" s="120"/>
      <c r="G103" s="113"/>
      <c r="H103" s="113"/>
      <c r="I103" s="113"/>
      <c r="J103" s="113"/>
      <c r="K103" s="113"/>
      <c r="L103" s="113"/>
      <c r="M103" s="120"/>
      <c r="N103" s="113"/>
      <c r="O103" s="113"/>
      <c r="P103" s="113"/>
      <c r="Q103" s="113"/>
      <c r="R103" s="113"/>
      <c r="S103" s="113"/>
      <c r="T103" s="120"/>
      <c r="U103" s="113"/>
      <c r="V103" s="113"/>
      <c r="W103" s="113"/>
      <c r="X103" s="113"/>
      <c r="Y103" s="113"/>
      <c r="Z103" s="113"/>
      <c r="AA103" s="120"/>
      <c r="AB103" s="113"/>
      <c r="AC103" s="113"/>
      <c r="AD103" s="113"/>
      <c r="AE103" s="113"/>
      <c r="AF103" s="113"/>
      <c r="AG103" s="113"/>
      <c r="AH103" s="120"/>
      <c r="AI103" s="113"/>
      <c r="AJ103" s="113"/>
      <c r="AK103" s="113"/>
      <c r="AL103" s="113"/>
      <c r="AM103" s="113"/>
      <c r="AN103" s="113"/>
      <c r="AO103" s="120"/>
      <c r="AP103" s="113"/>
      <c r="AQ103" s="113"/>
      <c r="AR103" s="113"/>
      <c r="AS103" s="113"/>
      <c r="AT103" s="113"/>
      <c r="AU103" s="113"/>
      <c r="AV103" s="120"/>
      <c r="AW103" s="113"/>
      <c r="AX103" s="113"/>
      <c r="AY103" s="113"/>
      <c r="AZ103" s="113"/>
      <c r="BA103" s="113"/>
      <c r="BB103" s="113"/>
      <c r="BC103" s="120"/>
      <c r="BD103" s="113"/>
      <c r="BE103" s="113"/>
      <c r="BF103" s="113"/>
      <c r="BG103" s="113"/>
      <c r="BH103" s="113"/>
      <c r="BI103" s="113"/>
      <c r="BJ103" s="120"/>
      <c r="BK103" s="113"/>
      <c r="BL103" s="113"/>
      <c r="BM103" s="113"/>
      <c r="BN103" s="113"/>
      <c r="BO103" s="113"/>
      <c r="BP103" s="113"/>
      <c r="BQ103" s="120"/>
      <c r="BR103" s="113"/>
      <c r="BS103" s="113"/>
      <c r="BT103" s="113"/>
      <c r="BU103" s="113"/>
      <c r="BV103" s="113"/>
      <c r="BW103" s="113"/>
      <c r="BX103" s="120"/>
      <c r="BY103" s="113"/>
      <c r="BZ103" s="113"/>
      <c r="CA103" s="113"/>
      <c r="CB103" s="113"/>
      <c r="CC103" s="113"/>
      <c r="CD103" s="113"/>
      <c r="CE103" s="120"/>
      <c r="CF103" s="113"/>
      <c r="CG103" s="113"/>
      <c r="CH103" s="113"/>
      <c r="CI103" s="113"/>
      <c r="CJ103" s="113"/>
      <c r="CK103" s="113"/>
      <c r="CL103" s="120"/>
      <c r="CM103" s="113"/>
      <c r="CN103" s="113"/>
    </row>
    <row r="104" spans="2:92" ht="18" customHeight="1" x14ac:dyDescent="0.25">
      <c r="B104" s="113"/>
      <c r="C104" s="114"/>
      <c r="D104" s="112"/>
      <c r="E104" s="112"/>
      <c r="F104" s="120"/>
      <c r="G104" s="113"/>
      <c r="H104" s="113"/>
      <c r="I104" s="113"/>
      <c r="J104" s="113"/>
      <c r="K104" s="113"/>
      <c r="L104" s="113"/>
      <c r="M104" s="120"/>
      <c r="N104" s="113"/>
      <c r="O104" s="113"/>
      <c r="P104" s="113"/>
      <c r="Q104" s="113"/>
      <c r="R104" s="113"/>
      <c r="S104" s="113"/>
      <c r="T104" s="120"/>
      <c r="U104" s="113"/>
      <c r="V104" s="113"/>
      <c r="W104" s="113"/>
      <c r="X104" s="113"/>
      <c r="Y104" s="113"/>
      <c r="Z104" s="113"/>
      <c r="AA104" s="120"/>
      <c r="AB104" s="113"/>
      <c r="AC104" s="113"/>
      <c r="AD104" s="113"/>
      <c r="AE104" s="113"/>
      <c r="AF104" s="113"/>
      <c r="AG104" s="113"/>
      <c r="AH104" s="120"/>
      <c r="AI104" s="113"/>
      <c r="AJ104" s="113"/>
      <c r="AK104" s="113"/>
      <c r="AL104" s="113"/>
      <c r="AM104" s="113"/>
      <c r="AN104" s="113"/>
      <c r="AO104" s="120"/>
      <c r="AP104" s="113"/>
      <c r="AQ104" s="113"/>
      <c r="AR104" s="113"/>
      <c r="AS104" s="113"/>
      <c r="AT104" s="113"/>
      <c r="AU104" s="113"/>
      <c r="AV104" s="120"/>
      <c r="AW104" s="113"/>
      <c r="AX104" s="113"/>
      <c r="AY104" s="113"/>
      <c r="AZ104" s="113"/>
      <c r="BA104" s="113"/>
      <c r="BB104" s="113"/>
      <c r="BC104" s="120"/>
      <c r="BD104" s="113"/>
      <c r="BE104" s="113"/>
      <c r="BF104" s="113"/>
      <c r="BG104" s="113"/>
      <c r="BH104" s="113"/>
      <c r="BI104" s="113"/>
      <c r="BJ104" s="120"/>
      <c r="BK104" s="113"/>
      <c r="BL104" s="113"/>
      <c r="BM104" s="113"/>
      <c r="BN104" s="113"/>
      <c r="BO104" s="113"/>
      <c r="BP104" s="113"/>
      <c r="BQ104" s="120"/>
      <c r="BR104" s="113"/>
      <c r="BS104" s="113"/>
      <c r="BT104" s="113"/>
      <c r="BU104" s="113"/>
      <c r="BV104" s="113"/>
      <c r="BW104" s="113"/>
      <c r="BX104" s="120"/>
      <c r="BY104" s="113"/>
      <c r="BZ104" s="113"/>
      <c r="CA104" s="113"/>
      <c r="CB104" s="113"/>
      <c r="CC104" s="113"/>
      <c r="CD104" s="113"/>
      <c r="CE104" s="120"/>
      <c r="CF104" s="113"/>
      <c r="CG104" s="113"/>
      <c r="CH104" s="113"/>
      <c r="CI104" s="113"/>
      <c r="CJ104" s="113"/>
      <c r="CK104" s="113"/>
      <c r="CL104" s="120"/>
      <c r="CM104" s="113"/>
      <c r="CN104" s="113"/>
    </row>
    <row r="105" spans="2:92" ht="18" customHeight="1" x14ac:dyDescent="0.25">
      <c r="B105" s="113"/>
      <c r="C105" s="114"/>
      <c r="D105" s="112"/>
      <c r="E105" s="112"/>
      <c r="F105" s="120"/>
      <c r="G105" s="113"/>
      <c r="H105" s="113"/>
      <c r="I105" s="113"/>
      <c r="J105" s="113"/>
      <c r="K105" s="113"/>
      <c r="L105" s="113"/>
      <c r="M105" s="120"/>
      <c r="N105" s="113"/>
      <c r="O105" s="113"/>
      <c r="P105" s="113"/>
      <c r="Q105" s="113"/>
      <c r="R105" s="113"/>
      <c r="S105" s="113"/>
      <c r="T105" s="120"/>
      <c r="U105" s="113"/>
      <c r="V105" s="113"/>
      <c r="W105" s="113"/>
      <c r="X105" s="113"/>
      <c r="Y105" s="113"/>
      <c r="Z105" s="113"/>
      <c r="AA105" s="120"/>
      <c r="AB105" s="113"/>
      <c r="AC105" s="113"/>
      <c r="AD105" s="113"/>
      <c r="AE105" s="113"/>
      <c r="AF105" s="113"/>
      <c r="AG105" s="113"/>
      <c r="AH105" s="120"/>
      <c r="AI105" s="113"/>
      <c r="AJ105" s="113"/>
      <c r="AK105" s="113"/>
      <c r="AL105" s="113"/>
      <c r="AM105" s="113"/>
      <c r="AN105" s="113"/>
      <c r="AO105" s="120"/>
      <c r="AP105" s="113"/>
      <c r="AQ105" s="113"/>
      <c r="AR105" s="113"/>
      <c r="AS105" s="113"/>
      <c r="AT105" s="113"/>
      <c r="AU105" s="113"/>
      <c r="AV105" s="120"/>
      <c r="AW105" s="113"/>
      <c r="AX105" s="113"/>
      <c r="AY105" s="113"/>
      <c r="AZ105" s="113"/>
      <c r="BA105" s="113"/>
      <c r="BB105" s="113"/>
      <c r="BC105" s="120"/>
      <c r="BD105" s="113"/>
      <c r="BE105" s="113"/>
      <c r="BF105" s="113"/>
      <c r="BG105" s="113"/>
      <c r="BH105" s="113"/>
      <c r="BI105" s="113"/>
      <c r="BJ105" s="120"/>
      <c r="BK105" s="113"/>
      <c r="BL105" s="113"/>
      <c r="BM105" s="113"/>
      <c r="BN105" s="113"/>
      <c r="BO105" s="113"/>
      <c r="BP105" s="113"/>
      <c r="BQ105" s="120"/>
      <c r="BR105" s="113"/>
      <c r="BS105" s="113"/>
      <c r="BT105" s="113"/>
      <c r="BU105" s="113"/>
      <c r="BV105" s="113"/>
      <c r="BW105" s="113"/>
      <c r="BX105" s="120"/>
      <c r="BY105" s="113"/>
      <c r="BZ105" s="113"/>
      <c r="CA105" s="113"/>
      <c r="CB105" s="113"/>
      <c r="CC105" s="113"/>
      <c r="CD105" s="113"/>
      <c r="CE105" s="120"/>
      <c r="CF105" s="113"/>
      <c r="CG105" s="113"/>
      <c r="CH105" s="113"/>
      <c r="CI105" s="113"/>
      <c r="CJ105" s="113"/>
      <c r="CK105" s="113"/>
      <c r="CL105" s="120"/>
      <c r="CM105" s="113"/>
      <c r="CN105" s="113"/>
    </row>
    <row r="106" spans="2:92" ht="18" customHeight="1" x14ac:dyDescent="0.25">
      <c r="B106" s="113"/>
      <c r="C106" s="114"/>
      <c r="D106" s="112"/>
      <c r="E106" s="112"/>
      <c r="F106" s="120"/>
      <c r="G106" s="113"/>
      <c r="H106" s="113"/>
      <c r="I106" s="113"/>
      <c r="J106" s="113"/>
      <c r="K106" s="113"/>
      <c r="L106" s="113"/>
      <c r="M106" s="120"/>
      <c r="N106" s="113"/>
      <c r="O106" s="113"/>
      <c r="P106" s="113"/>
      <c r="Q106" s="113"/>
      <c r="R106" s="113"/>
      <c r="S106" s="113"/>
      <c r="T106" s="120"/>
      <c r="U106" s="113"/>
      <c r="V106" s="113"/>
      <c r="W106" s="113"/>
      <c r="X106" s="113"/>
      <c r="Y106" s="113"/>
      <c r="Z106" s="113"/>
      <c r="AA106" s="120"/>
      <c r="AB106" s="113"/>
      <c r="AC106" s="113"/>
      <c r="AD106" s="113"/>
      <c r="AE106" s="113"/>
      <c r="AF106" s="113"/>
      <c r="AG106" s="113"/>
      <c r="AH106" s="120"/>
      <c r="AI106" s="113"/>
      <c r="AJ106" s="113"/>
      <c r="AK106" s="113"/>
      <c r="AL106" s="113"/>
      <c r="AM106" s="113"/>
      <c r="AN106" s="113"/>
      <c r="AO106" s="120"/>
      <c r="AP106" s="113"/>
      <c r="AQ106" s="113"/>
      <c r="AR106" s="113"/>
      <c r="AS106" s="113"/>
      <c r="AT106" s="113"/>
      <c r="AU106" s="113"/>
      <c r="AV106" s="120"/>
      <c r="AW106" s="113"/>
      <c r="AX106" s="113"/>
      <c r="AY106" s="113"/>
      <c r="AZ106" s="113"/>
      <c r="BA106" s="113"/>
      <c r="BB106" s="113"/>
      <c r="BC106" s="120"/>
      <c r="BD106" s="113"/>
      <c r="BE106" s="113"/>
      <c r="BF106" s="113"/>
      <c r="BG106" s="113"/>
      <c r="BH106" s="113"/>
      <c r="BI106" s="113"/>
      <c r="BJ106" s="120"/>
      <c r="BK106" s="113"/>
      <c r="BL106" s="113"/>
      <c r="BM106" s="113"/>
      <c r="BN106" s="113"/>
      <c r="BO106" s="113"/>
      <c r="BP106" s="113"/>
      <c r="BQ106" s="120"/>
      <c r="BR106" s="113"/>
      <c r="BS106" s="113"/>
      <c r="BT106" s="113"/>
      <c r="BU106" s="113"/>
      <c r="BV106" s="113"/>
      <c r="BW106" s="113"/>
      <c r="BX106" s="120"/>
      <c r="BY106" s="113"/>
      <c r="BZ106" s="113"/>
      <c r="CA106" s="113"/>
      <c r="CB106" s="113"/>
      <c r="CC106" s="113"/>
      <c r="CD106" s="113"/>
      <c r="CE106" s="120"/>
      <c r="CF106" s="113"/>
      <c r="CG106" s="113"/>
      <c r="CH106" s="113"/>
      <c r="CI106" s="113"/>
      <c r="CJ106" s="113"/>
      <c r="CK106" s="113"/>
      <c r="CL106" s="120"/>
      <c r="CM106" s="113"/>
      <c r="CN106" s="113"/>
    </row>
    <row r="107" spans="2:92" ht="18" customHeight="1" x14ac:dyDescent="0.25">
      <c r="B107" s="113"/>
      <c r="C107" s="114"/>
      <c r="D107" s="112"/>
      <c r="E107" s="112"/>
      <c r="F107" s="120"/>
      <c r="G107" s="113"/>
      <c r="H107" s="113"/>
      <c r="I107" s="113"/>
      <c r="J107" s="113"/>
      <c r="K107" s="113"/>
      <c r="L107" s="113"/>
      <c r="M107" s="120"/>
      <c r="N107" s="113"/>
      <c r="O107" s="113"/>
      <c r="P107" s="113"/>
      <c r="Q107" s="113"/>
      <c r="R107" s="113"/>
      <c r="S107" s="113"/>
      <c r="T107" s="120"/>
      <c r="U107" s="113"/>
      <c r="V107" s="113"/>
      <c r="W107" s="113"/>
      <c r="X107" s="113"/>
      <c r="Y107" s="113"/>
      <c r="Z107" s="113"/>
      <c r="AA107" s="120"/>
      <c r="AB107" s="113"/>
      <c r="AC107" s="113"/>
      <c r="AD107" s="113"/>
      <c r="AE107" s="113"/>
      <c r="AF107" s="113"/>
      <c r="AG107" s="113"/>
      <c r="AH107" s="120"/>
      <c r="AI107" s="113"/>
      <c r="AJ107" s="113"/>
      <c r="AK107" s="113"/>
      <c r="AL107" s="113"/>
      <c r="AM107" s="113"/>
      <c r="AN107" s="113"/>
      <c r="AO107" s="120"/>
      <c r="AP107" s="113"/>
      <c r="AQ107" s="113"/>
      <c r="AR107" s="113"/>
      <c r="AS107" s="113"/>
      <c r="AT107" s="113"/>
      <c r="AU107" s="113"/>
      <c r="AV107" s="120"/>
      <c r="AW107" s="113"/>
      <c r="AX107" s="113"/>
      <c r="AY107" s="113"/>
      <c r="AZ107" s="113"/>
      <c r="BA107" s="113"/>
      <c r="BB107" s="113"/>
      <c r="BC107" s="120"/>
      <c r="BD107" s="113"/>
      <c r="BE107" s="113"/>
      <c r="BF107" s="113"/>
      <c r="BG107" s="113"/>
      <c r="BH107" s="113"/>
      <c r="BI107" s="113"/>
      <c r="BJ107" s="120"/>
      <c r="BK107" s="113"/>
      <c r="BL107" s="113"/>
      <c r="BM107" s="113"/>
      <c r="BN107" s="113"/>
      <c r="BO107" s="113"/>
      <c r="BP107" s="113"/>
      <c r="BQ107" s="120"/>
      <c r="BR107" s="113"/>
      <c r="BS107" s="113"/>
      <c r="BT107" s="113"/>
      <c r="BU107" s="113"/>
      <c r="BV107" s="113"/>
      <c r="BW107" s="113"/>
      <c r="BX107" s="120"/>
      <c r="BY107" s="113"/>
      <c r="BZ107" s="113"/>
      <c r="CA107" s="113"/>
      <c r="CB107" s="113"/>
      <c r="CC107" s="113"/>
      <c r="CD107" s="113"/>
      <c r="CE107" s="120"/>
      <c r="CF107" s="113"/>
      <c r="CG107" s="113"/>
      <c r="CH107" s="113"/>
      <c r="CI107" s="113"/>
      <c r="CJ107" s="113"/>
      <c r="CK107" s="113"/>
      <c r="CL107" s="120"/>
      <c r="CM107" s="113"/>
      <c r="CN107" s="113"/>
    </row>
    <row r="108" spans="2:92" ht="18" customHeight="1" x14ac:dyDescent="0.25">
      <c r="B108" s="113"/>
      <c r="C108" s="114"/>
      <c r="D108" s="112"/>
      <c r="E108" s="112"/>
      <c r="F108" s="120"/>
      <c r="G108" s="113"/>
      <c r="H108" s="113"/>
      <c r="I108" s="113"/>
      <c r="J108" s="113"/>
      <c r="K108" s="113"/>
      <c r="L108" s="113"/>
      <c r="M108" s="120"/>
      <c r="N108" s="113"/>
      <c r="O108" s="113"/>
      <c r="P108" s="113"/>
      <c r="Q108" s="113"/>
      <c r="R108" s="113"/>
      <c r="S108" s="113"/>
      <c r="T108" s="120"/>
      <c r="U108" s="113"/>
      <c r="V108" s="113"/>
      <c r="W108" s="113"/>
      <c r="X108" s="113"/>
      <c r="Y108" s="113"/>
      <c r="Z108" s="113"/>
      <c r="AA108" s="120"/>
      <c r="AB108" s="113"/>
      <c r="AC108" s="113"/>
      <c r="AD108" s="113"/>
      <c r="AE108" s="113"/>
      <c r="AF108" s="113"/>
      <c r="AG108" s="113"/>
      <c r="AH108" s="120"/>
      <c r="AI108" s="113"/>
      <c r="AJ108" s="113"/>
      <c r="AK108" s="113"/>
      <c r="AL108" s="113"/>
      <c r="AM108" s="113"/>
      <c r="AN108" s="113"/>
      <c r="AO108" s="120"/>
      <c r="AP108" s="113"/>
      <c r="AQ108" s="113"/>
      <c r="AR108" s="113"/>
      <c r="AS108" s="113"/>
      <c r="AT108" s="113"/>
      <c r="AU108" s="113"/>
      <c r="AV108" s="120"/>
      <c r="AW108" s="113"/>
      <c r="AX108" s="113"/>
      <c r="AY108" s="113"/>
      <c r="AZ108" s="113"/>
      <c r="BA108" s="113"/>
      <c r="BB108" s="113"/>
      <c r="BC108" s="120"/>
      <c r="BD108" s="113"/>
      <c r="BE108" s="113"/>
      <c r="BF108" s="113"/>
      <c r="BG108" s="113"/>
      <c r="BH108" s="113"/>
      <c r="BI108" s="113"/>
      <c r="BJ108" s="120"/>
      <c r="BK108" s="113"/>
      <c r="BL108" s="113"/>
      <c r="BM108" s="113"/>
      <c r="BN108" s="113"/>
      <c r="BO108" s="113"/>
      <c r="BP108" s="113"/>
      <c r="BQ108" s="120"/>
      <c r="BR108" s="113"/>
      <c r="BS108" s="113"/>
      <c r="BT108" s="113"/>
      <c r="BU108" s="113"/>
      <c r="BV108" s="113"/>
      <c r="BW108" s="113"/>
      <c r="BX108" s="120"/>
      <c r="BY108" s="113"/>
      <c r="BZ108" s="113"/>
      <c r="CA108" s="113"/>
      <c r="CB108" s="113"/>
      <c r="CC108" s="113"/>
      <c r="CD108" s="113"/>
      <c r="CE108" s="120"/>
      <c r="CF108" s="113"/>
      <c r="CG108" s="113"/>
      <c r="CH108" s="113"/>
      <c r="CI108" s="113"/>
      <c r="CJ108" s="113"/>
      <c r="CK108" s="113"/>
      <c r="CL108" s="120"/>
      <c r="CM108" s="113"/>
      <c r="CN108" s="113"/>
    </row>
    <row r="109" spans="2:92" ht="18" customHeight="1" x14ac:dyDescent="0.25">
      <c r="B109" s="113"/>
      <c r="C109" s="114"/>
      <c r="D109" s="112"/>
      <c r="E109" s="112"/>
      <c r="F109" s="120"/>
      <c r="G109" s="113"/>
      <c r="H109" s="113"/>
      <c r="I109" s="113"/>
      <c r="J109" s="113"/>
      <c r="K109" s="113"/>
      <c r="L109" s="113"/>
      <c r="M109" s="120"/>
      <c r="N109" s="113"/>
      <c r="O109" s="113"/>
      <c r="P109" s="113"/>
      <c r="Q109" s="113"/>
      <c r="R109" s="113"/>
      <c r="S109" s="113"/>
      <c r="T109" s="120"/>
      <c r="U109" s="113"/>
      <c r="V109" s="113"/>
      <c r="W109" s="113"/>
      <c r="X109" s="113"/>
      <c r="Y109" s="113"/>
      <c r="Z109" s="113"/>
      <c r="AA109" s="120"/>
      <c r="AB109" s="113"/>
      <c r="AC109" s="113"/>
      <c r="AD109" s="113"/>
      <c r="AE109" s="113"/>
      <c r="AF109" s="113"/>
      <c r="AG109" s="113"/>
      <c r="AH109" s="120"/>
      <c r="AI109" s="113"/>
      <c r="AJ109" s="113"/>
      <c r="AK109" s="113"/>
      <c r="AL109" s="113"/>
      <c r="AM109" s="113"/>
      <c r="AN109" s="113"/>
      <c r="AO109" s="120"/>
      <c r="AP109" s="113"/>
      <c r="AQ109" s="113"/>
      <c r="AR109" s="113"/>
      <c r="AS109" s="113"/>
      <c r="AT109" s="113"/>
      <c r="AU109" s="113"/>
      <c r="AV109" s="120"/>
      <c r="AW109" s="113"/>
      <c r="AX109" s="113"/>
      <c r="AY109" s="113"/>
      <c r="AZ109" s="113"/>
      <c r="BA109" s="113"/>
      <c r="BB109" s="113"/>
      <c r="BC109" s="120"/>
      <c r="BD109" s="113"/>
      <c r="BE109" s="113"/>
      <c r="BF109" s="113"/>
      <c r="BG109" s="113"/>
      <c r="BH109" s="113"/>
      <c r="BI109" s="113"/>
      <c r="BJ109" s="120"/>
      <c r="BK109" s="113"/>
      <c r="BL109" s="113"/>
      <c r="BM109" s="113"/>
      <c r="BN109" s="113"/>
      <c r="BO109" s="113"/>
      <c r="BP109" s="113"/>
      <c r="BQ109" s="120"/>
      <c r="BR109" s="113"/>
      <c r="BS109" s="113"/>
      <c r="BT109" s="113"/>
      <c r="BU109" s="113"/>
      <c r="BV109" s="113"/>
      <c r="BW109" s="113"/>
      <c r="BX109" s="120"/>
      <c r="BY109" s="113"/>
      <c r="BZ109" s="113"/>
      <c r="CA109" s="113"/>
      <c r="CB109" s="113"/>
      <c r="CC109" s="113"/>
      <c r="CD109" s="113"/>
      <c r="CE109" s="120"/>
      <c r="CF109" s="113"/>
      <c r="CG109" s="113"/>
      <c r="CH109" s="113"/>
      <c r="CI109" s="113"/>
      <c r="CJ109" s="113"/>
      <c r="CK109" s="113"/>
      <c r="CL109" s="120"/>
      <c r="CM109" s="113"/>
      <c r="CN109" s="113"/>
    </row>
    <row r="110" spans="2:92" ht="18" customHeight="1" x14ac:dyDescent="0.25">
      <c r="B110" s="113"/>
      <c r="C110" s="114"/>
      <c r="D110" s="112"/>
      <c r="E110" s="112"/>
      <c r="F110" s="120"/>
      <c r="G110" s="113"/>
      <c r="H110" s="113"/>
      <c r="I110" s="113"/>
      <c r="J110" s="113"/>
      <c r="K110" s="113"/>
      <c r="L110" s="113"/>
      <c r="M110" s="120"/>
      <c r="N110" s="113"/>
      <c r="O110" s="113"/>
      <c r="P110" s="113"/>
      <c r="Q110" s="113"/>
      <c r="R110" s="113"/>
      <c r="S110" s="113"/>
      <c r="T110" s="120"/>
      <c r="U110" s="113"/>
      <c r="V110" s="113"/>
      <c r="W110" s="113"/>
      <c r="X110" s="113"/>
      <c r="Y110" s="113"/>
      <c r="Z110" s="113"/>
      <c r="AA110" s="120"/>
      <c r="AB110" s="113"/>
      <c r="AC110" s="113"/>
      <c r="AD110" s="113"/>
      <c r="AE110" s="113"/>
      <c r="AF110" s="113"/>
      <c r="AG110" s="113"/>
      <c r="AH110" s="120"/>
      <c r="AI110" s="113"/>
      <c r="AJ110" s="113"/>
      <c r="AK110" s="113"/>
      <c r="AL110" s="113"/>
      <c r="AM110" s="113"/>
      <c r="AN110" s="113"/>
      <c r="AO110" s="120"/>
      <c r="AP110" s="113"/>
      <c r="AQ110" s="113"/>
      <c r="AR110" s="113"/>
      <c r="AS110" s="113"/>
      <c r="AT110" s="113"/>
      <c r="AU110" s="113"/>
      <c r="AV110" s="120"/>
      <c r="AW110" s="113"/>
      <c r="AX110" s="113"/>
      <c r="AY110" s="113"/>
      <c r="AZ110" s="113"/>
      <c r="BA110" s="113"/>
      <c r="BB110" s="113"/>
      <c r="BC110" s="120"/>
      <c r="BD110" s="113"/>
      <c r="BE110" s="113"/>
      <c r="BF110" s="113"/>
      <c r="BG110" s="113"/>
      <c r="BH110" s="113"/>
      <c r="BI110" s="113"/>
      <c r="BJ110" s="120"/>
      <c r="BK110" s="113"/>
      <c r="BL110" s="113"/>
      <c r="BM110" s="113"/>
      <c r="BN110" s="113"/>
      <c r="BO110" s="113"/>
      <c r="BP110" s="113"/>
      <c r="BQ110" s="120"/>
      <c r="BR110" s="113"/>
      <c r="BS110" s="113"/>
      <c r="BT110" s="113"/>
      <c r="BU110" s="113"/>
      <c r="BV110" s="113"/>
      <c r="BW110" s="113"/>
      <c r="BX110" s="120"/>
      <c r="BY110" s="113"/>
      <c r="BZ110" s="113"/>
      <c r="CA110" s="113"/>
      <c r="CB110" s="113"/>
      <c r="CC110" s="113"/>
      <c r="CD110" s="113"/>
      <c r="CE110" s="120"/>
      <c r="CF110" s="113"/>
      <c r="CG110" s="113"/>
      <c r="CH110" s="113"/>
      <c r="CI110" s="113"/>
      <c r="CJ110" s="113"/>
      <c r="CK110" s="113"/>
      <c r="CL110" s="120"/>
      <c r="CM110" s="113"/>
      <c r="CN110" s="113"/>
    </row>
    <row r="111" spans="2:92" ht="18" customHeight="1" x14ac:dyDescent="0.25">
      <c r="B111" s="113"/>
      <c r="C111" s="114"/>
      <c r="D111" s="112"/>
      <c r="E111" s="112"/>
      <c r="F111" s="120"/>
      <c r="G111" s="113"/>
      <c r="H111" s="113"/>
      <c r="I111" s="113"/>
      <c r="J111" s="113"/>
      <c r="K111" s="113"/>
      <c r="L111" s="113"/>
      <c r="M111" s="120"/>
      <c r="N111" s="113"/>
      <c r="O111" s="113"/>
      <c r="P111" s="113"/>
      <c r="Q111" s="113"/>
      <c r="R111" s="113"/>
      <c r="S111" s="113"/>
      <c r="T111" s="120"/>
      <c r="U111" s="113"/>
      <c r="V111" s="113"/>
      <c r="W111" s="113"/>
      <c r="X111" s="113"/>
      <c r="Y111" s="113"/>
      <c r="Z111" s="113"/>
      <c r="AA111" s="120"/>
      <c r="AB111" s="113"/>
      <c r="AC111" s="113"/>
      <c r="AD111" s="113"/>
      <c r="AE111" s="113"/>
      <c r="AF111" s="113"/>
      <c r="AG111" s="113"/>
      <c r="AH111" s="120"/>
      <c r="AI111" s="113"/>
      <c r="AJ111" s="113"/>
      <c r="AK111" s="113"/>
      <c r="AL111" s="113"/>
      <c r="AM111" s="113"/>
      <c r="AN111" s="113"/>
      <c r="AO111" s="120"/>
      <c r="AP111" s="113"/>
      <c r="AQ111" s="113"/>
      <c r="AR111" s="113"/>
      <c r="AS111" s="113"/>
      <c r="AT111" s="113"/>
      <c r="AU111" s="113"/>
      <c r="AV111" s="120"/>
      <c r="AW111" s="113"/>
      <c r="AX111" s="113"/>
      <c r="AY111" s="113"/>
      <c r="AZ111" s="113"/>
      <c r="BA111" s="113"/>
      <c r="BB111" s="113"/>
      <c r="BC111" s="120"/>
      <c r="BD111" s="113"/>
      <c r="BE111" s="113"/>
      <c r="BF111" s="113"/>
      <c r="BG111" s="113"/>
      <c r="BH111" s="113"/>
      <c r="BI111" s="113"/>
      <c r="BJ111" s="120"/>
      <c r="BK111" s="113"/>
      <c r="BL111" s="113"/>
      <c r="BM111" s="113"/>
      <c r="BN111" s="113"/>
      <c r="BO111" s="113"/>
      <c r="BP111" s="113"/>
      <c r="BQ111" s="120"/>
      <c r="BR111" s="113"/>
      <c r="BS111" s="113"/>
      <c r="BT111" s="113"/>
      <c r="BU111" s="113"/>
      <c r="BV111" s="113"/>
      <c r="BW111" s="113"/>
      <c r="BX111" s="120"/>
      <c r="BY111" s="113"/>
      <c r="BZ111" s="113"/>
      <c r="CA111" s="113"/>
      <c r="CB111" s="113"/>
      <c r="CC111" s="113"/>
      <c r="CD111" s="113"/>
      <c r="CE111" s="120"/>
      <c r="CF111" s="113"/>
      <c r="CG111" s="113"/>
      <c r="CH111" s="113"/>
      <c r="CI111" s="113"/>
      <c r="CJ111" s="113"/>
      <c r="CK111" s="113"/>
      <c r="CL111" s="120"/>
      <c r="CM111" s="113"/>
      <c r="CN111" s="113"/>
    </row>
    <row r="112" spans="2:92" ht="18" customHeight="1" x14ac:dyDescent="0.25">
      <c r="B112" s="113"/>
      <c r="C112" s="114"/>
      <c r="D112" s="112"/>
      <c r="E112" s="112"/>
      <c r="F112" s="120"/>
      <c r="G112" s="113"/>
      <c r="H112" s="113"/>
      <c r="I112" s="113"/>
      <c r="J112" s="113"/>
      <c r="K112" s="113"/>
      <c r="L112" s="113"/>
      <c r="M112" s="120"/>
      <c r="N112" s="113"/>
      <c r="O112" s="113"/>
      <c r="P112" s="113"/>
      <c r="Q112" s="113"/>
      <c r="R112" s="113"/>
      <c r="S112" s="113"/>
      <c r="T112" s="120"/>
      <c r="U112" s="113"/>
      <c r="V112" s="113"/>
      <c r="W112" s="113"/>
      <c r="X112" s="113"/>
      <c r="Y112" s="113"/>
      <c r="Z112" s="113"/>
      <c r="AA112" s="120"/>
      <c r="AB112" s="113"/>
      <c r="AC112" s="113"/>
      <c r="AD112" s="113"/>
      <c r="AE112" s="113"/>
      <c r="AF112" s="113"/>
      <c r="AG112" s="113"/>
      <c r="AH112" s="120"/>
      <c r="AI112" s="113"/>
      <c r="AJ112" s="113"/>
      <c r="AK112" s="113"/>
      <c r="AL112" s="113"/>
      <c r="AM112" s="113"/>
      <c r="AN112" s="113"/>
      <c r="AO112" s="120"/>
      <c r="AP112" s="113"/>
      <c r="AQ112" s="113"/>
      <c r="AR112" s="113"/>
      <c r="AS112" s="113"/>
      <c r="AT112" s="113"/>
      <c r="AU112" s="113"/>
      <c r="AV112" s="120"/>
      <c r="AW112" s="113"/>
      <c r="AX112" s="113"/>
      <c r="AY112" s="113"/>
      <c r="AZ112" s="113"/>
      <c r="BA112" s="113"/>
      <c r="BB112" s="113"/>
      <c r="BC112" s="120"/>
      <c r="BD112" s="113"/>
      <c r="BE112" s="113"/>
      <c r="BF112" s="113"/>
      <c r="BG112" s="113"/>
      <c r="BH112" s="113"/>
      <c r="BI112" s="113"/>
      <c r="BJ112" s="120"/>
      <c r="BK112" s="113"/>
      <c r="BL112" s="113"/>
      <c r="BM112" s="113"/>
      <c r="BN112" s="113"/>
      <c r="BO112" s="113"/>
      <c r="BP112" s="113"/>
      <c r="BQ112" s="120"/>
      <c r="BR112" s="113"/>
      <c r="BS112" s="113"/>
      <c r="BT112" s="113"/>
      <c r="BU112" s="113"/>
      <c r="BV112" s="113"/>
      <c r="BW112" s="113"/>
      <c r="BX112" s="120"/>
      <c r="BY112" s="113"/>
      <c r="BZ112" s="113"/>
      <c r="CA112" s="113"/>
      <c r="CB112" s="113"/>
      <c r="CC112" s="113"/>
      <c r="CD112" s="113"/>
      <c r="CE112" s="120"/>
      <c r="CF112" s="113"/>
      <c r="CG112" s="113"/>
      <c r="CH112" s="113"/>
      <c r="CI112" s="113"/>
      <c r="CJ112" s="113"/>
      <c r="CK112" s="113"/>
      <c r="CL112" s="120"/>
      <c r="CM112" s="113"/>
      <c r="CN112" s="113"/>
    </row>
    <row r="113" spans="2:92" ht="18" customHeight="1" x14ac:dyDescent="0.25">
      <c r="B113" s="113"/>
      <c r="C113" s="114"/>
      <c r="D113" s="112"/>
      <c r="E113" s="112"/>
      <c r="F113" s="120"/>
      <c r="G113" s="113"/>
      <c r="H113" s="113"/>
      <c r="I113" s="113"/>
      <c r="J113" s="113"/>
      <c r="K113" s="113"/>
      <c r="L113" s="113"/>
      <c r="M113" s="120"/>
      <c r="N113" s="113"/>
      <c r="O113" s="113"/>
      <c r="P113" s="113"/>
      <c r="Q113" s="113"/>
      <c r="R113" s="113"/>
      <c r="S113" s="113"/>
      <c r="T113" s="120"/>
      <c r="U113" s="113"/>
      <c r="V113" s="113"/>
      <c r="W113" s="113"/>
      <c r="X113" s="113"/>
      <c r="Y113" s="113"/>
      <c r="Z113" s="113"/>
      <c r="AA113" s="120"/>
      <c r="AB113" s="113"/>
      <c r="AC113" s="113"/>
      <c r="AD113" s="113"/>
      <c r="AE113" s="113"/>
      <c r="AF113" s="113"/>
      <c r="AG113" s="113"/>
      <c r="AH113" s="120"/>
      <c r="AI113" s="113"/>
      <c r="AJ113" s="113"/>
      <c r="AK113" s="113"/>
      <c r="AL113" s="113"/>
      <c r="AM113" s="113"/>
      <c r="AN113" s="113"/>
      <c r="AO113" s="120"/>
      <c r="AP113" s="113"/>
      <c r="AQ113" s="113"/>
      <c r="AR113" s="113"/>
      <c r="AS113" s="113"/>
      <c r="AT113" s="113"/>
      <c r="AU113" s="113"/>
      <c r="AV113" s="120"/>
      <c r="AW113" s="113"/>
      <c r="AX113" s="113"/>
      <c r="AY113" s="113"/>
      <c r="AZ113" s="113"/>
      <c r="BA113" s="113"/>
      <c r="BB113" s="113"/>
      <c r="BC113" s="120"/>
      <c r="BD113" s="113"/>
      <c r="BE113" s="113"/>
      <c r="BF113" s="113"/>
      <c r="BG113" s="113"/>
      <c r="BH113" s="113"/>
      <c r="BI113" s="113"/>
      <c r="BJ113" s="120"/>
      <c r="BK113" s="113"/>
      <c r="BL113" s="113"/>
      <c r="BM113" s="113"/>
      <c r="BN113" s="113"/>
      <c r="BO113" s="113"/>
      <c r="BP113" s="113"/>
      <c r="BQ113" s="120"/>
      <c r="BR113" s="113"/>
      <c r="BS113" s="113"/>
      <c r="BT113" s="113"/>
      <c r="BU113" s="113"/>
      <c r="BV113" s="113"/>
      <c r="BW113" s="113"/>
      <c r="BX113" s="120"/>
      <c r="BY113" s="113"/>
      <c r="BZ113" s="113"/>
      <c r="CA113" s="113"/>
      <c r="CB113" s="113"/>
      <c r="CC113" s="113"/>
      <c r="CD113" s="113"/>
      <c r="CE113" s="120"/>
      <c r="CF113" s="113"/>
      <c r="CG113" s="113"/>
      <c r="CH113" s="113"/>
      <c r="CI113" s="113"/>
      <c r="CJ113" s="113"/>
      <c r="CK113" s="113"/>
      <c r="CL113" s="120"/>
      <c r="CM113" s="113"/>
      <c r="CN113" s="113"/>
    </row>
    <row r="114" spans="2:92" ht="18" customHeight="1" x14ac:dyDescent="0.25">
      <c r="B114" s="113"/>
      <c r="C114" s="114"/>
      <c r="D114" s="112"/>
      <c r="E114" s="112"/>
      <c r="F114" s="120"/>
      <c r="G114" s="113"/>
      <c r="H114" s="113"/>
      <c r="I114" s="113"/>
      <c r="J114" s="113"/>
      <c r="K114" s="113"/>
      <c r="L114" s="113"/>
      <c r="M114" s="120"/>
      <c r="N114" s="113"/>
      <c r="O114" s="113"/>
      <c r="P114" s="113"/>
      <c r="Q114" s="113"/>
      <c r="R114" s="113"/>
      <c r="S114" s="113"/>
      <c r="T114" s="120"/>
      <c r="U114" s="113"/>
      <c r="V114" s="113"/>
      <c r="W114" s="113"/>
      <c r="X114" s="113"/>
      <c r="Y114" s="113"/>
      <c r="Z114" s="113"/>
      <c r="AA114" s="120"/>
      <c r="AB114" s="113"/>
      <c r="AC114" s="113"/>
      <c r="AD114" s="113"/>
      <c r="AE114" s="113"/>
      <c r="AF114" s="113"/>
      <c r="AG114" s="113"/>
      <c r="AH114" s="120"/>
      <c r="AI114" s="113"/>
      <c r="AJ114" s="113"/>
      <c r="AK114" s="113"/>
      <c r="AL114" s="113"/>
      <c r="AM114" s="113"/>
      <c r="AN114" s="113"/>
      <c r="AO114" s="120"/>
      <c r="AP114" s="113"/>
      <c r="AQ114" s="113"/>
      <c r="AR114" s="113"/>
      <c r="AS114" s="113"/>
      <c r="AT114" s="113"/>
      <c r="AU114" s="113"/>
      <c r="AV114" s="120"/>
      <c r="AW114" s="113"/>
      <c r="AX114" s="113"/>
      <c r="AY114" s="113"/>
      <c r="AZ114" s="113"/>
      <c r="BA114" s="113"/>
      <c r="BB114" s="113"/>
      <c r="BC114" s="120"/>
      <c r="BD114" s="113"/>
      <c r="BE114" s="113"/>
      <c r="BF114" s="113"/>
      <c r="BG114" s="113"/>
      <c r="BH114" s="113"/>
      <c r="BI114" s="113"/>
      <c r="BJ114" s="120"/>
      <c r="BK114" s="113"/>
      <c r="BL114" s="113"/>
      <c r="BM114" s="113"/>
      <c r="BN114" s="113"/>
      <c r="BO114" s="113"/>
      <c r="BP114" s="113"/>
      <c r="BQ114" s="120"/>
      <c r="BR114" s="113"/>
      <c r="BS114" s="113"/>
      <c r="BT114" s="113"/>
      <c r="BU114" s="113"/>
      <c r="BV114" s="113"/>
      <c r="BW114" s="113"/>
      <c r="BX114" s="120"/>
      <c r="BY114" s="113"/>
      <c r="BZ114" s="113"/>
      <c r="CA114" s="113"/>
      <c r="CB114" s="113"/>
      <c r="CC114" s="113"/>
      <c r="CD114" s="113"/>
      <c r="CE114" s="120"/>
      <c r="CF114" s="113"/>
      <c r="CG114" s="113"/>
      <c r="CH114" s="113"/>
      <c r="CI114" s="113"/>
      <c r="CJ114" s="113"/>
      <c r="CK114" s="113"/>
      <c r="CL114" s="120"/>
      <c r="CM114" s="113"/>
      <c r="CN114" s="113"/>
    </row>
    <row r="115" spans="2:92" ht="18" customHeight="1" x14ac:dyDescent="0.25">
      <c r="B115" s="113"/>
      <c r="C115" s="114"/>
      <c r="D115" s="112"/>
      <c r="E115" s="112"/>
      <c r="F115" s="120"/>
      <c r="G115" s="113"/>
      <c r="H115" s="113"/>
      <c r="I115" s="113"/>
      <c r="J115" s="113"/>
      <c r="K115" s="113"/>
      <c r="L115" s="113"/>
      <c r="M115" s="120"/>
      <c r="N115" s="113"/>
      <c r="O115" s="113"/>
      <c r="P115" s="113"/>
      <c r="Q115" s="113"/>
      <c r="R115" s="113"/>
      <c r="S115" s="113"/>
      <c r="T115" s="120"/>
      <c r="U115" s="113"/>
      <c r="V115" s="113"/>
      <c r="W115" s="113"/>
      <c r="X115" s="113"/>
      <c r="Y115" s="113"/>
      <c r="Z115" s="113"/>
      <c r="AA115" s="120"/>
      <c r="AB115" s="113"/>
      <c r="AC115" s="113"/>
      <c r="AD115" s="113"/>
      <c r="AE115" s="113"/>
      <c r="AF115" s="113"/>
      <c r="AG115" s="113"/>
      <c r="AH115" s="120"/>
      <c r="AI115" s="113"/>
      <c r="AJ115" s="113"/>
      <c r="AK115" s="113"/>
      <c r="AL115" s="113"/>
      <c r="AM115" s="113"/>
      <c r="AN115" s="113"/>
      <c r="AO115" s="120"/>
      <c r="AP115" s="113"/>
      <c r="AQ115" s="113"/>
      <c r="AR115" s="113"/>
      <c r="AS115" s="113"/>
      <c r="AT115" s="113"/>
      <c r="AU115" s="113"/>
      <c r="AV115" s="120"/>
      <c r="AW115" s="113"/>
      <c r="AX115" s="113"/>
      <c r="AY115" s="113"/>
      <c r="AZ115" s="113"/>
      <c r="BA115" s="113"/>
      <c r="BB115" s="113"/>
      <c r="BC115" s="120"/>
      <c r="BD115" s="113"/>
      <c r="BE115" s="113"/>
      <c r="BF115" s="113"/>
      <c r="BG115" s="113"/>
      <c r="BH115" s="113"/>
      <c r="BI115" s="113"/>
      <c r="BJ115" s="120"/>
      <c r="BK115" s="113"/>
      <c r="BL115" s="113"/>
      <c r="BM115" s="113"/>
      <c r="BN115" s="113"/>
      <c r="BO115" s="113"/>
      <c r="BP115" s="113"/>
      <c r="BQ115" s="120"/>
      <c r="BR115" s="113"/>
      <c r="BS115" s="113"/>
      <c r="BT115" s="113"/>
      <c r="BU115" s="113"/>
      <c r="BV115" s="113"/>
      <c r="BW115" s="113"/>
      <c r="BX115" s="120"/>
      <c r="BY115" s="113"/>
      <c r="BZ115" s="113"/>
      <c r="CA115" s="113"/>
      <c r="CB115" s="113"/>
      <c r="CC115" s="113"/>
      <c r="CD115" s="113"/>
      <c r="CE115" s="120"/>
      <c r="CF115" s="113"/>
      <c r="CG115" s="113"/>
      <c r="CH115" s="113"/>
      <c r="CI115" s="113"/>
      <c r="CJ115" s="113"/>
      <c r="CK115" s="113"/>
      <c r="CL115" s="120"/>
      <c r="CM115" s="113"/>
      <c r="CN115" s="113"/>
    </row>
    <row r="116" spans="2:92" ht="18" customHeight="1" x14ac:dyDescent="0.25">
      <c r="B116" s="113"/>
      <c r="C116" s="114"/>
      <c r="D116" s="112"/>
      <c r="E116" s="112"/>
      <c r="F116" s="120"/>
      <c r="G116" s="113"/>
      <c r="H116" s="113"/>
      <c r="I116" s="113"/>
      <c r="J116" s="113"/>
      <c r="K116" s="113"/>
      <c r="L116" s="113"/>
      <c r="M116" s="120"/>
      <c r="N116" s="113"/>
      <c r="O116" s="113"/>
      <c r="P116" s="113"/>
      <c r="Q116" s="113"/>
      <c r="R116" s="113"/>
      <c r="S116" s="113"/>
      <c r="T116" s="120"/>
      <c r="U116" s="113"/>
      <c r="V116" s="113"/>
      <c r="W116" s="113"/>
      <c r="X116" s="113"/>
      <c r="Y116" s="113"/>
      <c r="Z116" s="113"/>
      <c r="AA116" s="120"/>
      <c r="AB116" s="113"/>
      <c r="AC116" s="113"/>
      <c r="AD116" s="113"/>
      <c r="AE116" s="113"/>
      <c r="AF116" s="113"/>
      <c r="AG116" s="113"/>
      <c r="AH116" s="120"/>
      <c r="AI116" s="113"/>
      <c r="AJ116" s="113"/>
      <c r="AK116" s="113"/>
      <c r="AL116" s="113"/>
      <c r="AM116" s="113"/>
      <c r="AN116" s="113"/>
      <c r="AO116" s="120"/>
      <c r="AP116" s="113"/>
      <c r="AQ116" s="113"/>
      <c r="AR116" s="113"/>
      <c r="AS116" s="113"/>
      <c r="AT116" s="113"/>
      <c r="AU116" s="113"/>
      <c r="AV116" s="120"/>
      <c r="AW116" s="113"/>
      <c r="AX116" s="113"/>
      <c r="AY116" s="113"/>
      <c r="AZ116" s="113"/>
      <c r="BA116" s="113"/>
      <c r="BB116" s="113"/>
      <c r="BC116" s="120"/>
      <c r="BD116" s="113"/>
      <c r="BE116" s="113"/>
      <c r="BF116" s="113"/>
      <c r="BG116" s="113"/>
      <c r="BH116" s="113"/>
      <c r="BI116" s="113"/>
      <c r="BJ116" s="120"/>
      <c r="BK116" s="113"/>
      <c r="BL116" s="113"/>
      <c r="BM116" s="113"/>
      <c r="BN116" s="113"/>
      <c r="BO116" s="113"/>
      <c r="BP116" s="113"/>
      <c r="BQ116" s="120"/>
      <c r="BR116" s="113"/>
      <c r="BS116" s="113"/>
      <c r="BT116" s="113"/>
      <c r="BU116" s="113"/>
      <c r="BV116" s="113"/>
      <c r="BW116" s="113"/>
      <c r="BX116" s="120"/>
      <c r="BY116" s="113"/>
      <c r="BZ116" s="113"/>
      <c r="CA116" s="113"/>
      <c r="CB116" s="113"/>
      <c r="CC116" s="113"/>
      <c r="CD116" s="113"/>
      <c r="CE116" s="120"/>
      <c r="CF116" s="113"/>
      <c r="CG116" s="113"/>
      <c r="CH116" s="113"/>
      <c r="CI116" s="113"/>
      <c r="CJ116" s="113"/>
      <c r="CK116" s="113"/>
      <c r="CL116" s="120"/>
      <c r="CM116" s="113"/>
      <c r="CN116" s="113"/>
    </row>
  </sheetData>
  <mergeCells count="34">
    <mergeCell ref="AL3:AR3"/>
    <mergeCell ref="AS3:AY3"/>
    <mergeCell ref="C46:I46"/>
    <mergeCell ref="J46:P46"/>
    <mergeCell ref="A1:CN1"/>
    <mergeCell ref="A2:A5"/>
    <mergeCell ref="B2:B5"/>
    <mergeCell ref="C2:AG2"/>
    <mergeCell ref="AH2:BL2"/>
    <mergeCell ref="BM2:CN2"/>
    <mergeCell ref="C3:I3"/>
    <mergeCell ref="J3:P3"/>
    <mergeCell ref="Q3:W3"/>
    <mergeCell ref="X3:AD3"/>
    <mergeCell ref="BU3:CA3"/>
    <mergeCell ref="CB3:CH3"/>
    <mergeCell ref="CI3:CN3"/>
    <mergeCell ref="AE3:AK3"/>
    <mergeCell ref="AZ3:BF3"/>
    <mergeCell ref="BG3:BM3"/>
    <mergeCell ref="BN3:BT3"/>
    <mergeCell ref="BG46:BK46"/>
    <mergeCell ref="A62:B62"/>
    <mergeCell ref="Q46:W46"/>
    <mergeCell ref="X46:AD46"/>
    <mergeCell ref="AE46:AK46"/>
    <mergeCell ref="AL46:AR46"/>
    <mergeCell ref="AS46:AY46"/>
    <mergeCell ref="AZ46:BF46"/>
    <mergeCell ref="A44:CN44"/>
    <mergeCell ref="A45:A48"/>
    <mergeCell ref="B45:B48"/>
    <mergeCell ref="C45:AG45"/>
    <mergeCell ref="AH45:BK45"/>
  </mergeCells>
  <pageMargins left="0.25" right="0.25" top="0.75" bottom="0.75" header="0.3" footer="0.3"/>
  <pageSetup scale="38" fitToHeight="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876"/>
  <sheetViews>
    <sheetView workbookViewId="0">
      <selection activeCell="H9" sqref="H9"/>
    </sheetView>
  </sheetViews>
  <sheetFormatPr baseColWidth="10" defaultColWidth="14.42578125" defaultRowHeight="15" customHeight="1" x14ac:dyDescent="0.25"/>
  <cols>
    <col min="1" max="1" width="23.7109375" customWidth="1"/>
    <col min="2" max="2" width="18.42578125" customWidth="1"/>
    <col min="3" max="3" width="16.5703125" customWidth="1"/>
    <col min="4" max="4" width="18.140625" customWidth="1"/>
    <col min="5" max="5" width="21.140625" customWidth="1"/>
    <col min="6" max="26" width="10.7109375" customWidth="1"/>
  </cols>
  <sheetData>
    <row r="1" spans="1:5" ht="14.25" customHeight="1" x14ac:dyDescent="0.25">
      <c r="A1" s="239" t="s">
        <v>174</v>
      </c>
      <c r="B1" s="235"/>
      <c r="C1" s="235"/>
      <c r="D1" s="235"/>
      <c r="E1" s="236"/>
    </row>
    <row r="2" spans="1:5" ht="14.25" customHeight="1" x14ac:dyDescent="0.25">
      <c r="A2" s="4" t="s">
        <v>56</v>
      </c>
      <c r="B2" s="5" t="s">
        <v>64</v>
      </c>
      <c r="C2" s="4" t="s">
        <v>175</v>
      </c>
      <c r="D2" s="240" t="s">
        <v>176</v>
      </c>
      <c r="E2" s="236"/>
    </row>
    <row r="3" spans="1:5" ht="18.75" customHeight="1" x14ac:dyDescent="0.25">
      <c r="A3" s="241"/>
      <c r="B3" s="235"/>
      <c r="C3" s="235"/>
      <c r="D3" s="235"/>
      <c r="E3" s="236"/>
    </row>
    <row r="4" spans="1:5" ht="14.25" customHeight="1" x14ac:dyDescent="0.35">
      <c r="A4" s="242" t="s">
        <v>177</v>
      </c>
      <c r="B4" s="235"/>
      <c r="C4" s="235"/>
      <c r="D4" s="235"/>
      <c r="E4" s="236"/>
    </row>
    <row r="5" spans="1:5" ht="14.25" customHeight="1" x14ac:dyDescent="0.25">
      <c r="A5" s="6" t="s">
        <v>178</v>
      </c>
      <c r="B5" s="6" t="s">
        <v>14</v>
      </c>
      <c r="C5" s="6" t="s">
        <v>179</v>
      </c>
      <c r="D5" s="6" t="s">
        <v>180</v>
      </c>
      <c r="E5" s="6" t="s">
        <v>19</v>
      </c>
    </row>
    <row r="6" spans="1:5" ht="14.25" customHeight="1" x14ac:dyDescent="0.25">
      <c r="A6" s="7" t="s">
        <v>224</v>
      </c>
      <c r="B6" s="8" t="s">
        <v>56</v>
      </c>
      <c r="C6" s="8">
        <v>50</v>
      </c>
      <c r="D6" s="9">
        <v>1100</v>
      </c>
      <c r="E6" s="10">
        <f>+D6*C6</f>
        <v>55000</v>
      </c>
    </row>
    <row r="7" spans="1:5" ht="14.25" customHeight="1" x14ac:dyDescent="0.25">
      <c r="A7" s="237" t="s">
        <v>142</v>
      </c>
      <c r="B7" s="235"/>
      <c r="C7" s="235"/>
      <c r="D7" s="236"/>
      <c r="E7" s="11">
        <f>SUM(E6)</f>
        <v>55000</v>
      </c>
    </row>
    <row r="8" spans="1:5" ht="14.25" customHeight="1" x14ac:dyDescent="0.25">
      <c r="A8" s="234" t="s">
        <v>181</v>
      </c>
      <c r="B8" s="235"/>
      <c r="C8" s="235"/>
      <c r="D8" s="235"/>
      <c r="E8" s="236"/>
    </row>
    <row r="9" spans="1:5" ht="14.25" customHeight="1" x14ac:dyDescent="0.25">
      <c r="A9" s="6" t="s">
        <v>178</v>
      </c>
      <c r="B9" s="6" t="s">
        <v>14</v>
      </c>
      <c r="C9" s="6" t="s">
        <v>179</v>
      </c>
      <c r="D9" s="6" t="s">
        <v>180</v>
      </c>
      <c r="E9" s="6" t="s">
        <v>19</v>
      </c>
    </row>
    <row r="10" spans="1:5" ht="14.25" customHeight="1" x14ac:dyDescent="0.25">
      <c r="A10" s="12" t="s">
        <v>182</v>
      </c>
      <c r="B10" s="8" t="s">
        <v>64</v>
      </c>
      <c r="C10" s="8">
        <v>1</v>
      </c>
      <c r="D10" s="13">
        <v>20000</v>
      </c>
      <c r="E10" s="10">
        <f>D10*C10</f>
        <v>20000</v>
      </c>
    </row>
    <row r="11" spans="1:5" ht="14.25" customHeight="1" x14ac:dyDescent="0.25">
      <c r="A11" s="12"/>
      <c r="B11" s="8"/>
      <c r="C11" s="8"/>
      <c r="D11" s="14"/>
      <c r="E11" s="10"/>
    </row>
    <row r="12" spans="1:5" ht="14.25" customHeight="1" x14ac:dyDescent="0.25">
      <c r="A12" s="237" t="s">
        <v>142</v>
      </c>
      <c r="B12" s="235"/>
      <c r="C12" s="235"/>
      <c r="D12" s="236"/>
      <c r="E12" s="11">
        <f>SUM(E10:E11)</f>
        <v>20000</v>
      </c>
    </row>
    <row r="13" spans="1:5" ht="14.25" customHeight="1" x14ac:dyDescent="0.25">
      <c r="A13" s="234" t="s">
        <v>183</v>
      </c>
      <c r="B13" s="235"/>
      <c r="C13" s="235"/>
      <c r="D13" s="235"/>
      <c r="E13" s="236"/>
    </row>
    <row r="14" spans="1:5" ht="14.25" customHeight="1" x14ac:dyDescent="0.25">
      <c r="A14" s="6" t="s">
        <v>178</v>
      </c>
      <c r="B14" s="6" t="s">
        <v>14</v>
      </c>
      <c r="C14" s="6" t="s">
        <v>179</v>
      </c>
      <c r="D14" s="6" t="s">
        <v>180</v>
      </c>
      <c r="E14" s="6" t="s">
        <v>19</v>
      </c>
    </row>
    <row r="15" spans="1:5" ht="14.25" customHeight="1" x14ac:dyDescent="0.4">
      <c r="A15" s="15"/>
      <c r="B15" s="15"/>
      <c r="C15" s="15"/>
      <c r="D15" s="15"/>
      <c r="E15" s="15"/>
    </row>
    <row r="16" spans="1:5" ht="14.25" customHeight="1" x14ac:dyDescent="0.4">
      <c r="A16" s="16"/>
      <c r="B16" s="16"/>
      <c r="C16" s="16"/>
      <c r="D16" s="17" t="s">
        <v>142</v>
      </c>
      <c r="E16" s="18"/>
    </row>
    <row r="17" spans="1:5" ht="14.25" customHeight="1" x14ac:dyDescent="0.4">
      <c r="A17" s="19"/>
      <c r="B17" s="19"/>
      <c r="C17" s="19"/>
      <c r="D17" s="19"/>
      <c r="E17" s="20"/>
    </row>
    <row r="18" spans="1:5" ht="14.25" customHeight="1" x14ac:dyDescent="0.35">
      <c r="A18" s="238" t="s">
        <v>142</v>
      </c>
      <c r="B18" s="235"/>
      <c r="C18" s="235"/>
      <c r="D18" s="236"/>
      <c r="E18" s="18">
        <f>+E12+E7+E16</f>
        <v>75000</v>
      </c>
    </row>
    <row r="19" spans="1:5" ht="14.25" customHeight="1" x14ac:dyDescent="0.4">
      <c r="A19" s="1"/>
      <c r="B19" s="1"/>
      <c r="C19" s="1"/>
      <c r="D19" s="1"/>
      <c r="E19" s="2"/>
    </row>
    <row r="20" spans="1:5" ht="14.25" customHeight="1" x14ac:dyDescent="0.25"/>
    <row r="21" spans="1:5" ht="14.25" customHeight="1" x14ac:dyDescent="0.25"/>
    <row r="22" spans="1:5" ht="14.25" customHeight="1" x14ac:dyDescent="0.25"/>
    <row r="23" spans="1:5" ht="14.25" customHeight="1" x14ac:dyDescent="0.25"/>
    <row r="24" spans="1:5" ht="14.25" customHeight="1" x14ac:dyDescent="0.25"/>
    <row r="25" spans="1:5" ht="14.25" customHeight="1" x14ac:dyDescent="0.25"/>
    <row r="26" spans="1:5" ht="14.25" customHeight="1" x14ac:dyDescent="0.25"/>
    <row r="27" spans="1:5" ht="14.25" customHeight="1" x14ac:dyDescent="0.25"/>
    <row r="28" spans="1:5" ht="14.25" customHeight="1" x14ac:dyDescent="0.25"/>
    <row r="29" spans="1:5" ht="14.25" customHeight="1" x14ac:dyDescent="0.25"/>
    <row r="30" spans="1:5" ht="14.25" customHeight="1" x14ac:dyDescent="0.25"/>
    <row r="31" spans="1:5" ht="14.25" customHeight="1" x14ac:dyDescent="0.25"/>
    <row r="32" spans="1:5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</sheetData>
  <mergeCells count="9">
    <mergeCell ref="A8:E8"/>
    <mergeCell ref="A13:E13"/>
    <mergeCell ref="A12:D12"/>
    <mergeCell ref="A18:D18"/>
    <mergeCell ref="A1:E1"/>
    <mergeCell ref="D2:E2"/>
    <mergeCell ref="A3:E3"/>
    <mergeCell ref="A4:E4"/>
    <mergeCell ref="A7:D7"/>
  </mergeCells>
  <dataValidations disablePrompts="1" count="2">
    <dataValidation type="list" allowBlank="1" showInputMessage="1" prompt="Duración del Proyecto - Seleccione la Opción" sqref="E11:E12" xr:uid="{00000000-0002-0000-0300-000000000000}">
      <formula1>dURACION</formula1>
    </dataValidation>
    <dataValidation type="list" allowBlank="1" showInputMessage="1" prompt="No. de Hogares Postulantes - Seleccione la Opción" sqref="A10" xr:uid="{00000000-0002-0000-0300-000001000000}">
      <formula1>IF(#REF!="Convocatoria Ordinaria",FLIAS60,IF(#REF!="Postulación Permanente",FLIAS100,IF(#REF!="Programas Estratégicos",flias1500,IF(#REF!="Programas de Desarrollo Rural",flias1500))))</formula1>
    </dataValidation>
  </dataValidation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3</vt:i4>
      </vt:variant>
    </vt:vector>
  </HeadingPairs>
  <TitlesOfParts>
    <vt:vector size="7" baseType="lpstr">
      <vt:lpstr>Presupuesto</vt:lpstr>
      <vt:lpstr>Programación</vt:lpstr>
      <vt:lpstr>Programación (2)</vt:lpstr>
      <vt:lpstr>A.P.U</vt:lpstr>
      <vt:lpstr>Presupuesto!Área_de_impresión</vt:lpstr>
      <vt:lpstr>Programación!Área_de_impresión</vt:lpstr>
      <vt:lpstr>'Programación (2)'!Área_de_impresión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CLARA</dc:creator>
  <cp:lastModifiedBy>Comodoro1820@outlook.com</cp:lastModifiedBy>
  <cp:lastPrinted>2022-11-28T21:39:26Z</cp:lastPrinted>
  <dcterms:created xsi:type="dcterms:W3CDTF">2019-08-19T16:56:41Z</dcterms:created>
  <dcterms:modified xsi:type="dcterms:W3CDTF">2023-12-07T03:27:51Z</dcterms:modified>
</cp:coreProperties>
</file>