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ros" state="visible" r:id="rId4"/>
    <sheet sheetId="2" name="Calculo por periodo" state="visible" r:id="rId5"/>
    <sheet sheetId="3" name="Relaciones" state="visible" r:id="rId6"/>
    <sheet sheetId="4" name="Matematica" state="visible" r:id="rId7"/>
  </sheets>
  <definedNames>
    <definedName name="SMMLV">Parametros!$B$5</definedName>
    <definedName name="TRM">Parametros!$B$6</definedName>
    <definedName name="SALUD_PCT">Parametros!$B$7</definedName>
    <definedName name="ARL_PCT">Parametros!$B$8</definedName>
    <definedName name="TRANSPORTE_DIA">Parametros!$B$9</definedName>
    <definedName name="DIAS_TRABAJADOS">Parametros!$B$10</definedName>
    <definedName name="DIAS_MES">Parametros!$B$11</definedName>
    <definedName name="HORAS_SEMANA">Parametros!$B$12</definedName>
    <definedName name="DIVISOR_HORAS">Parametros!$B$15</definedName>
    <definedName name="SALUD_MES">Parametros!$B$16</definedName>
    <definedName name="ARL_MES">Parametros!$B$17</definedName>
    <definedName name="TRANSPORTE_MES">Parametros!$B$18</definedName>
    <definedName name="COSTO_MES">Parametros!$B$19</definedName>
  </definedNames>
  <calcPr calcId="171027" fullCalcOnLoad="1"/>
</workbook>
</file>

<file path=xl/sharedStrings.xml><?xml version="1.0" encoding="utf-8"?>
<sst xmlns="http://schemas.openxmlformats.org/spreadsheetml/2006/main" count="230" uniqueCount="178">
  <si>
    <t>Parámetros — lo único que se cambia</t>
  </si>
  <si>
    <t>Escribe aquí el nuevo salario mínimo, la TRM o los aportes: las demás hojas se recalculan con fórmulas. Las celdas amarillas son editables.</t>
  </si>
  <si>
    <t>NOMBRE</t>
  </si>
  <si>
    <t>VALOR</t>
  </si>
  <si>
    <t>UNIDAD</t>
  </si>
  <si>
    <t>DESCRIPCIÓN</t>
  </si>
  <si>
    <t>FUENTE</t>
  </si>
  <si>
    <t>SMMLV</t>
  </si>
  <si>
    <t>$ COP</t>
  </si>
  <si>
    <t>Salario mínimo mensual</t>
  </si>
  <si>
    <t>Decreto 1469 del 29/12/2025 (vigente desde el 01/01/2026)</t>
  </si>
  <si>
    <t>TRM</t>
  </si>
  <si>
    <t>$ COP / US$</t>
  </si>
  <si>
    <t>Tasa de cambio (pesos por dólar)</t>
  </si>
  <si>
    <t>Superintendencia Financiera, TRM vigente del 26 al 28/09/2026 (datos.gov.co, serie 32sa-8pi3)</t>
  </si>
  <si>
    <t>SALUD_PCT</t>
  </si>
  <si>
    <t>%</t>
  </si>
  <si>
    <t>Aporte a salud del empleador</t>
  </si>
  <si>
    <t>Ley 1122 de 2007 (8,5 %). Exonerable según art. 114-1 del Estatuto Tributario</t>
  </si>
  <si>
    <t>ARL_PCT</t>
  </si>
  <si>
    <t>Aporte a ARL (riesgo laboral)</t>
  </si>
  <si>
    <t>Decreto 1772 de 1994: clase V (construcción) 6,96 %</t>
  </si>
  <si>
    <t>TRANSPORTE_DIA</t>
  </si>
  <si>
    <t>$ COP / día</t>
  </si>
  <si>
    <t>Transporte por día trabajado</t>
  </si>
  <si>
    <t>Valor definido por ConstruMaster</t>
  </si>
  <si>
    <t>DIAS_TRABAJADOS</t>
  </si>
  <si>
    <t>días</t>
  </si>
  <si>
    <t>Días trabajados al mes</t>
  </si>
  <si>
    <t>6 días por semana (el domingo es descanso remunerado)</t>
  </si>
  <si>
    <t>DIAS_MES</t>
  </si>
  <si>
    <t>Días del mes laboral</t>
  </si>
  <si>
    <t>Código Sustantivo del Trabajo: el mes laboral se liquida sobre 30 días</t>
  </si>
  <si>
    <t>HORAS_SEMANA</t>
  </si>
  <si>
    <t>horas</t>
  </si>
  <si>
    <t>Jornada máxima semanal</t>
  </si>
  <si>
    <t>Ley 2101 de 2021: 42 horas desde el 15/07/2026</t>
  </si>
  <si>
    <t>DERIVADO</t>
  </si>
  <si>
    <t>FÓRMULA</t>
  </si>
  <si>
    <t>EXPLICACIÓN</t>
  </si>
  <si>
    <t>DIVISOR_HORAS</t>
  </si>
  <si>
    <t>=HORAS_SEMANA*5</t>
  </si>
  <si>
    <t>Horas laborales al mes (divisor legal)</t>
  </si>
  <si>
    <t>El divisor legal es la jornada semanal por 5: 48 h → 240, 42 h → 210.</t>
  </si>
  <si>
    <t>SALUD_MES</t>
  </si>
  <si>
    <t>=SMMLV*SALUD_PCT</t>
  </si>
  <si>
    <t>Salud del empleador al mes</t>
  </si>
  <si>
    <t>Porcentaje del salario.</t>
  </si>
  <si>
    <t>ARL_MES</t>
  </si>
  <si>
    <t>=SMMLV*ARL_PCT</t>
  </si>
  <si>
    <t>ARL al mes</t>
  </si>
  <si>
    <t>Porcentaje del salario según la clase de riesgo.</t>
  </si>
  <si>
    <t>TRANSPORTE_MES</t>
  </si>
  <si>
    <t>=TRANSPORTE_DIA*DIAS_TRABAJADOS</t>
  </si>
  <si>
    <t>Transporte al mes</t>
  </si>
  <si>
    <t>Solo los días trabajados.</t>
  </si>
  <si>
    <t>COSTO_MES</t>
  </si>
  <si>
    <t>=SMMLV+SALUD_MES+ARL_MES+TRANSPORTE_MES</t>
  </si>
  <si>
    <t>Costo total al mes</t>
  </si>
  <si>
    <t>Salario más aportes y transporte.</t>
  </si>
  <si>
    <t>Tarifas ARL por clase de riesgo (Decreto 1772 de 1994): copie la que aplique en ARL_PCT.</t>
  </si>
  <si>
    <t>Clase I</t>
  </si>
  <si>
    <t>Riesgo mínimo (oficina)</t>
  </si>
  <si>
    <t>Clase II</t>
  </si>
  <si>
    <t>Riesgo bajo</t>
  </si>
  <si>
    <t>Clase III</t>
  </si>
  <si>
    <t>Riesgo medio</t>
  </si>
  <si>
    <t>Clase IV</t>
  </si>
  <si>
    <t>Riesgo alto</t>
  </si>
  <si>
    <t>Clase V</t>
  </si>
  <si>
    <t>Riesgo máximo (construcción)</t>
  </si>
  <si>
    <t>Salario mínimo y costo laboral por periodo</t>
  </si>
  <si>
    <t>Cada celda = valor mensual × factor del periodo. Los dólares = pesos ÷ TRM. Todo con fórmulas.</t>
  </si>
  <si>
    <t>FACTOR DEL PERIODO</t>
  </si>
  <si>
    <t>Mes</t>
  </si>
  <si>
    <t>Quincena</t>
  </si>
  <si>
    <t>Semana</t>
  </si>
  <si>
    <t>Día (calendario)</t>
  </si>
  <si>
    <t>Día trabajado</t>
  </si>
  <si>
    <t>Hora</t>
  </si>
  <si>
    <t>Minuto</t>
  </si>
  <si>
    <t>Segundo</t>
  </si>
  <si>
    <t>Fracción del mes</t>
  </si>
  <si>
    <t>Fórmula del factor</t>
  </si>
  <si>
    <t>=1</t>
  </si>
  <si>
    <t>=15/DIAS_MES</t>
  </si>
  <si>
    <t>=7/DIAS_MES</t>
  </si>
  <si>
    <t>=1/DIAS_MES</t>
  </si>
  <si>
    <t>=1/DIAS_TRABAJADOS</t>
  </si>
  <si>
    <t>=1/DIVISOR_HORAS</t>
  </si>
  <si>
    <t>=1/(DIVISOR_HORAS*60)</t>
  </si>
  <si>
    <t>=1/(DIVISOR_HORAS*3600)</t>
  </si>
  <si>
    <t>PESOS COLOMBIANOS</t>
  </si>
  <si>
    <t>Salario mínimo</t>
  </si>
  <si>
    <t>Salud (empleador)</t>
  </si>
  <si>
    <t>ARL</t>
  </si>
  <si>
    <t>Transporte</t>
  </si>
  <si>
    <t>Costo total</t>
  </si>
  <si>
    <t>DÓLARES (÷ TRM)</t>
  </si>
  <si>
    <t>Relaciones numéricas entre el salario mínimo y el dólar</t>
  </si>
  <si>
    <t>Son proporciones: existen siempre y se recalculan si cambia el salario mínimo o la TRM.</t>
  </si>
  <si>
    <t>RELACIÓN</t>
  </si>
  <si>
    <t>QUÉ SIGNIFICA</t>
  </si>
  <si>
    <t>Salario mínimo en dólares</t>
  </si>
  <si>
    <t>US$</t>
  </si>
  <si>
    <t>=SMMLV/TRM</t>
  </si>
  <si>
    <t>Cuántos dólares compra un salario mínimo.</t>
  </si>
  <si>
    <t>Un dólar como fracción del salario mínimo</t>
  </si>
  <si>
    <t>% del SMMLV</t>
  </si>
  <si>
    <t>=TRM/SMMLV</t>
  </si>
  <si>
    <t>Qué parte del salario mínimo vale un dólar.</t>
  </si>
  <si>
    <t>Hora de salario mínimo en dólares</t>
  </si>
  <si>
    <t>US$ / hora</t>
  </si>
  <si>
    <t>=(SMMLV/DIVISOR_HORAS)/TRM</t>
  </si>
  <si>
    <t>Dólares que se ganan en una hora con el salario mínimo.</t>
  </si>
  <si>
    <t>Minutos de trabajo para ganar un dólar</t>
  </si>
  <si>
    <t>minutos</t>
  </si>
  <si>
    <t>=TRM/(SMMLV/DIVISOR_HORAS)*60</t>
  </si>
  <si>
    <t>Tiempo de trabajo con salario mínimo equivalente a un dólar.</t>
  </si>
  <si>
    <t>Día de salario mínimo en dólares</t>
  </si>
  <si>
    <t>US$ / día</t>
  </si>
  <si>
    <t>=(SMMLV/DIAS_MES)/TRM</t>
  </si>
  <si>
    <t>Salario diario legal (mes ÷ 30) en dólares.</t>
  </si>
  <si>
    <t>Días de salario mínimo para 100 dólares</t>
  </si>
  <si>
    <t>=100*TRM/(SMMLV/DIAS_MES)</t>
  </si>
  <si>
    <t>Días de salario necesarios para reunir 100 dólares.</t>
  </si>
  <si>
    <t>Costo total del trabajador en dólares</t>
  </si>
  <si>
    <t>US$ / mes</t>
  </si>
  <si>
    <t>=COSTO_MES/TRM</t>
  </si>
  <si>
    <t>Lo que cuesta al mes un trabajador de salario mínimo, en dólares.</t>
  </si>
  <si>
    <t>Factor de costo sobre el salario</t>
  </si>
  <si>
    <t>veces</t>
  </si>
  <si>
    <t>=COSTO_MES/SMMLV</t>
  </si>
  <si>
    <t>Por cada peso de salario, cuánto cuesta el trabajador (salario + aportes + transporte).</t>
  </si>
  <si>
    <t>La matemática de cada función</t>
  </si>
  <si>
    <t>Todo valor es una proporción del salario mínimo (SMMLV) y de la tasa de cambio (TRM).</t>
  </si>
  <si>
    <t>TEMA</t>
  </si>
  <si>
    <t>Principio</t>
  </si>
  <si>
    <t>Cada valor es SMMLV (o el costo mensual) multiplicado por una fracción del mes; los dólares dividen entre la TRM. Por eso, al cambiar SMMLV o TRM, todo se recalcula sin tocar las fórmulas.</t>
  </si>
  <si>
    <t>Mes laboral</t>
  </si>
  <si>
    <t>El salario se liquida sobre 30 días (DIAS_MES). Día calendario = mes ÷ 30; semana = mes × 7 ÷ 30; quincena = mes × 15 ÷ 30.</t>
  </si>
  <si>
    <t>Costo del mes ÷ días trabajados (26 con semana de 6 días): reparte también el domingo remunerado.</t>
  </si>
  <si>
    <t>Mes ÷ DIVISOR_HORAS, con DIVISOR_HORAS = horas semanales × 5 (42 h → 210). Minuto = hora ÷ 60; segundo = hora ÷ 3.600.</t>
  </si>
  <si>
    <t>Aportes</t>
  </si>
  <si>
    <t>Salud = SMMLV × 8,5 %; ARL = SMMLV × tarifa de la clase de riesgo (clase V = 6,96 %). Transporte = valor diario × días trabajados.</t>
  </si>
  <si>
    <t>Dólares</t>
  </si>
  <si>
    <t>Valor en dólares = valor en pesos ÷ TRM. Un dólar como fracción del salario = TRM ÷ SMMLV.</t>
  </si>
  <si>
    <t>No incluye</t>
  </si>
  <si>
    <t>Pensión, caja de compensación ni prestaciones sociales (cesantías, intereses, prima, vacaciones).</t>
  </si>
  <si>
    <t>HORAS_SEMANA × 5</t>
  </si>
  <si>
    <t>SMMLV × SALUD_PCT</t>
  </si>
  <si>
    <t>SMMLV × ARL_PCT</t>
  </si>
  <si>
    <t>TRANSPORTE_DIA × DIAS_TRABAJADOS</t>
  </si>
  <si>
    <t>SMMLV + SALUD_MES + ARL_MES + TRANSPORTE_MES</t>
  </si>
  <si>
    <t>Factor Mes</t>
  </si>
  <si>
    <t>1</t>
  </si>
  <si>
    <t>Factor Quincena</t>
  </si>
  <si>
    <t>15 ÷ DIAS_MES</t>
  </si>
  <si>
    <t>Factor Semana</t>
  </si>
  <si>
    <t>7 ÷ DIAS_MES</t>
  </si>
  <si>
    <t>Factor Día (calendario)</t>
  </si>
  <si>
    <t>1 ÷ DIAS_MES</t>
  </si>
  <si>
    <t>Factor Día trabajado</t>
  </si>
  <si>
    <t>1 ÷ DIAS_TRABAJADOS</t>
  </si>
  <si>
    <t>Factor Hora</t>
  </si>
  <si>
    <t>1 ÷ DIVISOR_HORAS</t>
  </si>
  <si>
    <t>Factor Minuto</t>
  </si>
  <si>
    <t>1 ÷ (DIVISOR_HORAS × 60)</t>
  </si>
  <si>
    <t>Factor Segundo</t>
  </si>
  <si>
    <t>1 ÷ (DIVISOR_HORAS × 3.600)</t>
  </si>
  <si>
    <t>SMMLV ÷ TRM</t>
  </si>
  <si>
    <t>TRM ÷ SMMLV</t>
  </si>
  <si>
    <t>(SMMLV ÷ DIVISOR_HORAS) ÷ TRM</t>
  </si>
  <si>
    <t>TRM ÷ (SMMLV ÷ DIVISOR_HORAS) × 60</t>
  </si>
  <si>
    <t>(SMMLV ÷ DIAS_MES) ÷ TRM</t>
  </si>
  <si>
    <t>100 × TRM ÷ (SMMLV ÷ DIAS_MES)</t>
  </si>
  <si>
    <t>COSTO_MES ÷ TRM</t>
  </si>
  <si>
    <t>COSTO_MES ÷ SMMLV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</si>
</sst>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 #,##0.00"/>
    <numFmt numFmtId="165" formatCode="0.000%"/>
    <numFmt numFmtId="166" formatCode="0.000000"/>
    <numFmt numFmtId="167" formatCode="&quot;US$&quot; #,##0.000000"/>
    <numFmt numFmtId="168" formatCode="#,##0.0000"/>
    <numFmt numFmtId="169" formatCode="0.0000%"/>
  </numFmts>
  <fonts count="5" x14ac:knownFonts="1">
    <font>
      <color theme="1"/>
      <family val="2"/>
      <scheme val="minor"/>
      <sz val="11"/>
      <name val="Calibri"/>
    </font>
    <font>
      <b/>
      <color rgb="FF354B3E"/>
      <sz val="14"/>
    </font>
    <font>
      <i/>
      <color rgb="FF65675F"/>
      <sz val="9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54B3E"/>
      </patternFill>
    </fill>
    <fill>
      <patternFill patternType="solid">
        <fgColor rgb="FFFFF4C2"/>
      </patternFill>
    </fill>
    <fill>
      <patternFill patternType="solid">
        <fgColor rgb="FFF5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1" fontId="0" fillId="0" borderId="0" xfId="0" applyNumberFormat="1"/>
    <xf numFmtId="164" fontId="0" fillId="0" borderId="0" xfId="0" applyNumberFormat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0" fontId="4" fillId="4" borderId="0" xfId="0" applyFont="1" applyFill="1"/>
    <xf numFmtId="164" fontId="4" fillId="4" borderId="0" xfId="0" applyNumberFormat="1" applyFont="1" applyFill="1"/>
    <xf numFmtId="167" fontId="0" fillId="0" borderId="0" xfId="0" applyNumberFormat="1"/>
    <xf numFmtId="167" fontId="4" fillId="4" borderId="0" xfId="0" applyNumberFormat="1" applyFont="1" applyFill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2" width="18" customWidth="1"/>
    <col min="3" max="3" width="34" customWidth="1"/>
    <col min="4" max="4" width="38" customWidth="1"/>
    <col min="5" max="5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s="4">
        <v>1750905</v>
      </c>
      <c r="C5" t="s">
        <v>8</v>
      </c>
      <c r="D5" t="s">
        <v>9</v>
      </c>
      <c r="E5" t="s">
        <v>10</v>
      </c>
    </row>
    <row r="6" spans="1:5" x14ac:dyDescent="0.25">
      <c r="A6" t="s">
        <v>11</v>
      </c>
      <c r="B6" s="4">
        <v>3306.86</v>
      </c>
      <c r="C6" t="s">
        <v>12</v>
      </c>
      <c r="D6" t="s">
        <v>13</v>
      </c>
      <c r="E6" t="s">
        <v>14</v>
      </c>
    </row>
    <row r="7" spans="1:5" x14ac:dyDescent="0.25">
      <c r="A7" t="s">
        <v>15</v>
      </c>
      <c r="B7" s="5">
        <v>0.085</v>
      </c>
      <c r="C7" t="s">
        <v>16</v>
      </c>
      <c r="D7" t="s">
        <v>17</v>
      </c>
      <c r="E7" t="s">
        <v>18</v>
      </c>
    </row>
    <row r="8" spans="1:5" x14ac:dyDescent="0.25">
      <c r="A8" t="s">
        <v>19</v>
      </c>
      <c r="B8" s="5">
        <v>0.0696</v>
      </c>
      <c r="C8" t="s">
        <v>16</v>
      </c>
      <c r="D8" t="s">
        <v>20</v>
      </c>
      <c r="E8" t="s">
        <v>21</v>
      </c>
    </row>
    <row r="9" spans="1:5" x14ac:dyDescent="0.25">
      <c r="A9" t="s">
        <v>22</v>
      </c>
      <c r="B9" s="4">
        <v>5000</v>
      </c>
      <c r="C9" t="s">
        <v>23</v>
      </c>
      <c r="D9" t="s">
        <v>24</v>
      </c>
      <c r="E9" t="s">
        <v>25</v>
      </c>
    </row>
    <row r="10" spans="1:5" x14ac:dyDescent="0.25">
      <c r="A10" t="s">
        <v>26</v>
      </c>
      <c r="B10" s="6">
        <v>26</v>
      </c>
      <c r="C10" t="s">
        <v>27</v>
      </c>
      <c r="D10" t="s">
        <v>28</v>
      </c>
      <c r="E10" t="s">
        <v>29</v>
      </c>
    </row>
    <row r="11" spans="1:5" x14ac:dyDescent="0.25">
      <c r="A11" t="s">
        <v>30</v>
      </c>
      <c r="B11" s="6">
        <v>30</v>
      </c>
      <c r="C11" t="s">
        <v>27</v>
      </c>
      <c r="D11" t="s">
        <v>31</v>
      </c>
      <c r="E11" t="s">
        <v>32</v>
      </c>
    </row>
    <row r="12" spans="1:5" x14ac:dyDescent="0.25">
      <c r="A12" t="s">
        <v>33</v>
      </c>
      <c r="B12" s="6">
        <v>42</v>
      </c>
      <c r="C12" t="s">
        <v>34</v>
      </c>
      <c r="D12" t="s">
        <v>35</v>
      </c>
      <c r="E12" t="s">
        <v>36</v>
      </c>
    </row>
    <row r="14" spans="1:5" x14ac:dyDescent="0.25">
      <c r="A14" s="3" t="s">
        <v>37</v>
      </c>
      <c r="B14" s="3" t="s">
        <v>3</v>
      </c>
      <c r="C14" s="3" t="s">
        <v>38</v>
      </c>
      <c r="D14" s="3" t="s">
        <v>5</v>
      </c>
      <c r="E14" s="3" t="s">
        <v>39</v>
      </c>
    </row>
    <row r="15" spans="1:5" x14ac:dyDescent="0.25">
      <c r="A15" t="s">
        <v>40</v>
      </c>
      <c r="B15" s="7">
        <f>HORAS_SEMANA*5</f>
        <v>210</v>
      </c>
      <c r="C15" t="s">
        <v>41</v>
      </c>
      <c r="D15" t="s">
        <v>42</v>
      </c>
      <c r="E15" t="s">
        <v>43</v>
      </c>
    </row>
    <row r="16" spans="1:5" x14ac:dyDescent="0.25">
      <c r="A16" t="s">
        <v>44</v>
      </c>
      <c r="B16" s="8">
        <f>SMMLV*SALUD_PCT</f>
        <v>148826.92500000002</v>
      </c>
      <c r="C16" t="s">
        <v>45</v>
      </c>
      <c r="D16" t="s">
        <v>46</v>
      </c>
      <c r="E16" t="s">
        <v>47</v>
      </c>
    </row>
    <row r="17" spans="1:5" x14ac:dyDescent="0.25">
      <c r="A17" t="s">
        <v>48</v>
      </c>
      <c r="B17" s="8">
        <f>SMMLV*ARL_PCT</f>
        <v>121862.988</v>
      </c>
      <c r="C17" t="s">
        <v>49</v>
      </c>
      <c r="D17" t="s">
        <v>50</v>
      </c>
      <c r="E17" t="s">
        <v>51</v>
      </c>
    </row>
    <row r="18" spans="1:5" x14ac:dyDescent="0.25">
      <c r="A18" t="s">
        <v>52</v>
      </c>
      <c r="B18" s="8">
        <f>TRANSPORTE_DIA*DIAS_TRABAJADOS</f>
        <v>130000</v>
      </c>
      <c r="C18" t="s">
        <v>53</v>
      </c>
      <c r="D18" t="s">
        <v>54</v>
      </c>
      <c r="E18" t="s">
        <v>55</v>
      </c>
    </row>
    <row r="19" spans="1:5" x14ac:dyDescent="0.25">
      <c r="A19" t="s">
        <v>56</v>
      </c>
      <c r="B19" s="8">
        <f>SMMLV+SALUD_MES+ARL_MES+TRANSPORTE_MES</f>
        <v>2151594.9129999997</v>
      </c>
      <c r="C19" t="s">
        <v>57</v>
      </c>
      <c r="D19" t="s">
        <v>58</v>
      </c>
      <c r="E19" t="s">
        <v>59</v>
      </c>
    </row>
    <row r="21" spans="1:1" x14ac:dyDescent="0.25">
      <c r="A21" s="9" t="s">
        <v>60</v>
      </c>
    </row>
    <row r="22" spans="1:4" x14ac:dyDescent="0.25">
      <c r="A22" t="s">
        <v>61</v>
      </c>
      <c r="B22" s="10">
        <v>0.00522</v>
      </c>
      <c r="C22" t="s">
        <v>16</v>
      </c>
      <c r="D22" t="s">
        <v>62</v>
      </c>
    </row>
    <row r="23" spans="1:4" x14ac:dyDescent="0.25">
      <c r="A23" t="s">
        <v>63</v>
      </c>
      <c r="B23" s="10">
        <v>0.01044</v>
      </c>
      <c r="C23" t="s">
        <v>16</v>
      </c>
      <c r="D23" t="s">
        <v>64</v>
      </c>
    </row>
    <row r="24" spans="1:4" x14ac:dyDescent="0.25">
      <c r="A24" t="s">
        <v>65</v>
      </c>
      <c r="B24" s="10">
        <v>0.02436</v>
      </c>
      <c r="C24" t="s">
        <v>16</v>
      </c>
      <c r="D24" t="s">
        <v>66</v>
      </c>
    </row>
    <row r="25" spans="1:4" x14ac:dyDescent="0.25">
      <c r="A25" t="s">
        <v>67</v>
      </c>
      <c r="B25" s="10">
        <v>0.0435</v>
      </c>
      <c r="C25" t="s">
        <v>16</v>
      </c>
      <c r="D25" t="s">
        <v>68</v>
      </c>
    </row>
    <row r="26" spans="1:4" x14ac:dyDescent="0.25">
      <c r="A26" t="s">
        <v>69</v>
      </c>
      <c r="B26" s="10">
        <v>0.0696</v>
      </c>
      <c r="C26" t="s">
        <v>16</v>
      </c>
      <c r="D2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24" customWidth="1"/>
    <col min="2" max="9" width="17" customWidth="1"/>
  </cols>
  <sheetData>
    <row r="1" spans="1:1" x14ac:dyDescent="0.25">
      <c r="A1" s="1" t="s">
        <v>71</v>
      </c>
    </row>
    <row r="2" spans="1:1" x14ac:dyDescent="0.25">
      <c r="A2" s="2" t="s">
        <v>72</v>
      </c>
    </row>
    <row r="4" ht="22" customHeight="1" spans="1:9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</row>
    <row r="5" spans="1:9" x14ac:dyDescent="0.25">
      <c r="A5" t="s">
        <v>82</v>
      </c>
      <c r="B5" s="11">
        <f>1</f>
        <v>1</v>
      </c>
      <c r="C5" s="11">
        <f>15/DIAS_MES</f>
        <v>0.5</v>
      </c>
      <c r="D5" s="11">
        <f>7/DIAS_MES</f>
        <v>0.23333333333333334</v>
      </c>
      <c r="E5" s="11">
        <f>1/DIAS_MES</f>
        <v>0.03333333333333333</v>
      </c>
      <c r="F5" s="11">
        <f>1/DIAS_TRABAJADOS</f>
        <v>0.038461538461538464</v>
      </c>
      <c r="G5" s="11">
        <f>1/DIVISOR_HORAS</f>
        <v>0.004761904761904762</v>
      </c>
      <c r="H5" s="11">
        <f>1/(DIVISOR_HORAS*60)</f>
        <v>0.00007936507936507937</v>
      </c>
      <c r="I5" s="11">
        <f>1/(DIVISOR_HORAS*3600)</f>
        <v>0.0000013227513227513228</v>
      </c>
    </row>
    <row r="6" spans="1:9" s="2" customFormat="1" x14ac:dyDescent="0.25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89</v>
      </c>
      <c r="H6" s="2" t="s">
        <v>90</v>
      </c>
      <c r="I6" s="2" t="s">
        <v>91</v>
      </c>
    </row>
    <row r="8" spans="1:9" x14ac:dyDescent="0.25">
      <c r="A8" s="3" t="s">
        <v>92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81</v>
      </c>
    </row>
    <row r="9" spans="1:9" x14ac:dyDescent="0.25">
      <c r="A9" t="s">
        <v>93</v>
      </c>
      <c r="B9" s="8">
        <f>SMMLV*B$5</f>
        <v>1750905</v>
      </c>
      <c r="C9" s="8">
        <f>SMMLV*C$5</f>
        <v>875452.5</v>
      </c>
      <c r="D9" s="8">
        <f>SMMLV*D$5</f>
        <v>408544.5</v>
      </c>
      <c r="E9" s="8">
        <f>SMMLV*E$5</f>
        <v>58363.5</v>
      </c>
      <c r="F9" s="8">
        <f>SMMLV*F$5</f>
        <v>67342.5</v>
      </c>
      <c r="G9" s="8">
        <f>SMMLV*G$5</f>
        <v>8337.642857142859</v>
      </c>
      <c r="H9" s="8">
        <f>SMMLV*H$5</f>
        <v>138.9607142857143</v>
      </c>
      <c r="I9" s="8">
        <f>SMMLV*I$5</f>
        <v>2.316011904761905</v>
      </c>
    </row>
    <row r="10" spans="1:9" x14ac:dyDescent="0.25">
      <c r="A10" t="s">
        <v>94</v>
      </c>
      <c r="B10" s="8">
        <f>SALUD_MES*B$5</f>
        <v>148826.92500000002</v>
      </c>
      <c r="C10" s="8">
        <f>SALUD_MES*C$5</f>
        <v>74413.46250000001</v>
      </c>
      <c r="D10" s="8">
        <f>SALUD_MES*D$5</f>
        <v>34726.2825</v>
      </c>
      <c r="E10" s="8">
        <f>SALUD_MES*E$5</f>
        <v>4960.897500000001</v>
      </c>
      <c r="F10" s="8">
        <f>SALUD_MES*F$5</f>
        <v>5724.112500000001</v>
      </c>
      <c r="G10" s="8">
        <f>SALUD_MES*G$5</f>
        <v>708.699642857143</v>
      </c>
      <c r="H10" s="8">
        <f>SALUD_MES*H$5</f>
        <v>11.811660714285715</v>
      </c>
      <c r="I10" s="8">
        <f>SALUD_MES*I$5</f>
        <v>0.19686101190476193</v>
      </c>
    </row>
    <row r="11" spans="1:9" x14ac:dyDescent="0.25">
      <c r="A11" t="s">
        <v>95</v>
      </c>
      <c r="B11" s="8">
        <f>ARL_MES*B$5</f>
        <v>121862.988</v>
      </c>
      <c r="C11" s="8">
        <f>ARL_MES*C$5</f>
        <v>60931.494</v>
      </c>
      <c r="D11" s="8">
        <f>ARL_MES*D$5</f>
        <v>28434.6972</v>
      </c>
      <c r="E11" s="8">
        <f>ARL_MES*E$5</f>
        <v>4062.0996</v>
      </c>
      <c r="F11" s="8">
        <f>ARL_MES*F$5</f>
        <v>4687.0380000000005</v>
      </c>
      <c r="G11" s="8">
        <f>ARL_MES*G$5</f>
        <v>580.2999428571429</v>
      </c>
      <c r="H11" s="8">
        <f>ARL_MES*H$5</f>
        <v>9.671665714285714</v>
      </c>
      <c r="I11" s="8">
        <f>ARL_MES*I$5</f>
        <v>0.16119442857142857</v>
      </c>
    </row>
    <row r="12" spans="1:9" x14ac:dyDescent="0.25">
      <c r="A12" t="s">
        <v>96</v>
      </c>
      <c r="B12" s="8">
        <f>TRANSPORTE_MES*B$5</f>
        <v>130000</v>
      </c>
      <c r="C12" s="8">
        <f>TRANSPORTE_MES*C$5</f>
        <v>65000</v>
      </c>
      <c r="D12" s="8">
        <f>TRANSPORTE_MES*D$5</f>
        <v>30333.333333333332</v>
      </c>
      <c r="E12" s="8">
        <f>TRANSPORTE_MES*E$5</f>
        <v>4333.333333333333</v>
      </c>
      <c r="F12" s="8">
        <f>TRANSPORTE_MES*F$5</f>
        <v>5000</v>
      </c>
      <c r="G12" s="8">
        <f>TRANSPORTE_MES*G$5</f>
        <v>619.0476190476192</v>
      </c>
      <c r="H12" s="8">
        <f>TRANSPORTE_MES*H$5</f>
        <v>10.317460317460318</v>
      </c>
      <c r="I12" s="8">
        <f>TRANSPORTE_MES*I$5</f>
        <v>0.17195767195767195</v>
      </c>
    </row>
    <row r="13" spans="1:9" x14ac:dyDescent="0.25">
      <c r="A13" s="12" t="s">
        <v>97</v>
      </c>
      <c r="B13" s="13">
        <f>COSTO_MES*B$5</f>
        <v>2151594.9129999997</v>
      </c>
      <c r="C13" s="13">
        <f>COSTO_MES*C$5</f>
        <v>1075797.4564999999</v>
      </c>
      <c r="D13" s="13">
        <f>COSTO_MES*D$5</f>
        <v>502038.8130333333</v>
      </c>
      <c r="E13" s="13">
        <f>COSTO_MES*E$5</f>
        <v>71719.83043333332</v>
      </c>
      <c r="F13" s="13">
        <f>COSTO_MES*F$5</f>
        <v>82753.65049999999</v>
      </c>
      <c r="G13" s="13">
        <f>COSTO_MES*G$5</f>
        <v>10245.690061904761</v>
      </c>
      <c r="H13" s="13">
        <f>COSTO_MES*H$5</f>
        <v>170.761501031746</v>
      </c>
      <c r="I13" s="13">
        <f>COSTO_MES*I$5</f>
        <v>2.846025017195767</v>
      </c>
    </row>
    <row r="15" spans="1:9" x14ac:dyDescent="0.25">
      <c r="A15" s="3" t="s">
        <v>98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  <c r="H15" s="3" t="s">
        <v>80</v>
      </c>
      <c r="I15" s="3" t="s">
        <v>81</v>
      </c>
    </row>
    <row r="16" spans="1:9" x14ac:dyDescent="0.25">
      <c r="A16" t="s">
        <v>93</v>
      </c>
      <c r="B16" s="14">
        <f>SMMLV*B$5/TRM</f>
        <v>529.4766031824752</v>
      </c>
      <c r="C16" s="14">
        <f>SMMLV*C$5/TRM</f>
        <v>264.7383015912376</v>
      </c>
      <c r="D16" s="14">
        <f>SMMLV*D$5/TRM</f>
        <v>123.54454074257755</v>
      </c>
      <c r="E16" s="14">
        <f>SMMLV*E$5/TRM</f>
        <v>17.649220106082506</v>
      </c>
      <c r="F16" s="14">
        <f>SMMLV*F$5/TRM</f>
        <v>20.364484737787507</v>
      </c>
      <c r="G16" s="14">
        <f>SMMLV*G$5/TRM</f>
        <v>2.521317158011787</v>
      </c>
      <c r="H16" s="14">
        <f>SMMLV*H$5/TRM</f>
        <v>0.04202195263352978</v>
      </c>
      <c r="I16" s="14">
        <f>SMMLV*I$5/TRM</f>
        <v>0.0007003658772254963</v>
      </c>
    </row>
    <row r="17" spans="1:9" x14ac:dyDescent="0.25">
      <c r="A17" t="s">
        <v>94</v>
      </c>
      <c r="B17" s="14">
        <f>SALUD_MES*B$5/TRM</f>
        <v>45.0055112705104</v>
      </c>
      <c r="C17" s="14">
        <f>SALUD_MES*C$5/TRM</f>
        <v>22.5027556352552</v>
      </c>
      <c r="D17" s="14">
        <f>SALUD_MES*D$5/TRM</f>
        <v>10.501285963119091</v>
      </c>
      <c r="E17" s="14">
        <f>SALUD_MES*E$5/TRM</f>
        <v>1.5001837090170134</v>
      </c>
      <c r="F17" s="14">
        <f>SALUD_MES*F$5/TRM</f>
        <v>1.7309812027119384</v>
      </c>
      <c r="G17" s="14">
        <f>SALUD_MES*G$5/TRM</f>
        <v>0.2143119584310019</v>
      </c>
      <c r="H17" s="14">
        <f>SALUD_MES*H$5/TRM</f>
        <v>0.0035718659738500315</v>
      </c>
      <c r="I17" s="14">
        <f>SALUD_MES*I$5/TRM</f>
        <v>0.000059531099564167196</v>
      </c>
    </row>
    <row r="18" spans="1:9" x14ac:dyDescent="0.25">
      <c r="A18" t="s">
        <v>95</v>
      </c>
      <c r="B18" s="14">
        <f>ARL_MES*B$5/TRM</f>
        <v>36.851571581500274</v>
      </c>
      <c r="C18" s="14">
        <f>ARL_MES*C$5/TRM</f>
        <v>18.425785790750137</v>
      </c>
      <c r="D18" s="14">
        <f>ARL_MES*D$5/TRM</f>
        <v>8.598700035683397</v>
      </c>
      <c r="E18" s="14">
        <f>ARL_MES*E$5/TRM</f>
        <v>1.2283857193833425</v>
      </c>
      <c r="F18" s="14">
        <f>ARL_MES*F$5/TRM</f>
        <v>1.4173681377500107</v>
      </c>
      <c r="G18" s="14">
        <f>ARL_MES*G$5/TRM</f>
        <v>0.17548367419762037</v>
      </c>
      <c r="H18" s="14">
        <f>ARL_MES*H$5/TRM</f>
        <v>0.0029247279032936723</v>
      </c>
      <c r="I18" s="14">
        <f>ARL_MES*I$5/TRM</f>
        <v>0.000048745465054894545</v>
      </c>
    </row>
    <row r="19" spans="1:9" x14ac:dyDescent="0.25">
      <c r="A19" t="s">
        <v>96</v>
      </c>
      <c r="B19" s="14">
        <f>TRANSPORTE_MES*B$5/TRM</f>
        <v>39.31221763243681</v>
      </c>
      <c r="C19" s="14">
        <f>TRANSPORTE_MES*C$5/TRM</f>
        <v>19.656108816218406</v>
      </c>
      <c r="D19" s="14">
        <f>TRANSPORTE_MES*D$5/TRM</f>
        <v>9.172850780901923</v>
      </c>
      <c r="E19" s="14">
        <f>TRANSPORTE_MES*E$5/TRM</f>
        <v>1.3104072544145604</v>
      </c>
      <c r="F19" s="14">
        <f>TRANSPORTE_MES*F$5/TRM</f>
        <v>1.512008370478339</v>
      </c>
      <c r="G19" s="14">
        <f>TRANSPORTE_MES*G$5/TRM</f>
        <v>0.18720103634493723</v>
      </c>
      <c r="H19" s="14">
        <f>TRANSPORTE_MES*H$5/TRM</f>
        <v>0.00312001727241562</v>
      </c>
      <c r="I19" s="14">
        <f>TRANSPORTE_MES*I$5/TRM</f>
        <v>0.000052000287873593666</v>
      </c>
    </row>
    <row r="20" spans="1:9" x14ac:dyDescent="0.25">
      <c r="A20" s="12" t="s">
        <v>97</v>
      </c>
      <c r="B20" s="15">
        <f>COSTO_MES*B$5/TRM</f>
        <v>650.6459036669225</v>
      </c>
      <c r="C20" s="15">
        <f>COSTO_MES*C$5/TRM</f>
        <v>325.3229518334613</v>
      </c>
      <c r="D20" s="15">
        <f>COSTO_MES*D$5/TRM</f>
        <v>151.81737752228193</v>
      </c>
      <c r="E20" s="15">
        <f>COSTO_MES*E$5/TRM</f>
        <v>21.688196788897418</v>
      </c>
      <c r="F20" s="15">
        <f>COSTO_MES*F$5/TRM</f>
        <v>25.024842448727792</v>
      </c>
      <c r="G20" s="15">
        <f>COSTO_MES*G$5/TRM</f>
        <v>3.0983138269853456</v>
      </c>
      <c r="H20" s="15">
        <f>COSTO_MES*H$5/TRM</f>
        <v>0.05163856378308909</v>
      </c>
      <c r="I20" s="15">
        <f>COSTO_MES*I$5/TRM</f>
        <v>0.0008606427297181517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38" customWidth="1"/>
    <col min="5" max="5" width="70" customWidth="1"/>
  </cols>
  <sheetData>
    <row r="1" spans="1:1" x14ac:dyDescent="0.25">
      <c r="A1" s="1" t="s">
        <v>99</v>
      </c>
    </row>
    <row r="2" spans="1:1" x14ac:dyDescent="0.25">
      <c r="A2" s="2" t="s">
        <v>100</v>
      </c>
    </row>
    <row r="4" ht="22" customHeight="1" spans="1:5" x14ac:dyDescent="0.25">
      <c r="A4" s="3" t="s">
        <v>101</v>
      </c>
      <c r="B4" s="3" t="s">
        <v>3</v>
      </c>
      <c r="C4" s="3" t="s">
        <v>4</v>
      </c>
      <c r="D4" s="3" t="s">
        <v>38</v>
      </c>
      <c r="E4" s="3" t="s">
        <v>102</v>
      </c>
    </row>
    <row r="5" spans="1:5" x14ac:dyDescent="0.25">
      <c r="A5" t="s">
        <v>103</v>
      </c>
      <c r="B5" s="16">
        <f>SMMLV/TRM</f>
        <v>529.4766031824752</v>
      </c>
      <c r="C5" t="s">
        <v>104</v>
      </c>
      <c r="D5" t="s">
        <v>105</v>
      </c>
      <c r="E5" t="s">
        <v>106</v>
      </c>
    </row>
    <row r="6" spans="1:5" x14ac:dyDescent="0.25">
      <c r="A6" t="s">
        <v>107</v>
      </c>
      <c r="B6" s="17">
        <f>TRM/SMMLV</f>
        <v>0.0018886575799372325</v>
      </c>
      <c r="C6" t="s">
        <v>108</v>
      </c>
      <c r="D6" t="s">
        <v>109</v>
      </c>
      <c r="E6" t="s">
        <v>110</v>
      </c>
    </row>
    <row r="7" spans="1:5" x14ac:dyDescent="0.25">
      <c r="A7" t="s">
        <v>111</v>
      </c>
      <c r="B7" s="16">
        <f>(SMMLV/DIVISOR_HORAS)/TRM</f>
        <v>2.5213171580117866</v>
      </c>
      <c r="C7" t="s">
        <v>112</v>
      </c>
      <c r="D7" t="s">
        <v>113</v>
      </c>
      <c r="E7" t="s">
        <v>114</v>
      </c>
    </row>
    <row r="8" spans="1:5" x14ac:dyDescent="0.25">
      <c r="A8" t="s">
        <v>115</v>
      </c>
      <c r="B8" s="16">
        <f>TRM/(SMMLV/DIVISOR_HORAS)*60</f>
        <v>23.79708550720913</v>
      </c>
      <c r="C8" t="s">
        <v>116</v>
      </c>
      <c r="D8" t="s">
        <v>117</v>
      </c>
      <c r="E8" t="s">
        <v>118</v>
      </c>
    </row>
    <row r="9" spans="1:5" x14ac:dyDescent="0.25">
      <c r="A9" t="s">
        <v>119</v>
      </c>
      <c r="B9" s="16">
        <f>(SMMLV/DIAS_MES)/TRM</f>
        <v>17.649220106082506</v>
      </c>
      <c r="C9" t="s">
        <v>120</v>
      </c>
      <c r="D9" t="s">
        <v>121</v>
      </c>
      <c r="E9" t="s">
        <v>122</v>
      </c>
    </row>
    <row r="10" spans="1:5" x14ac:dyDescent="0.25">
      <c r="A10" t="s">
        <v>123</v>
      </c>
      <c r="B10" s="16">
        <f>100*TRM/(SMMLV/DIAS_MES)</f>
        <v>5.665972739811697</v>
      </c>
      <c r="C10" t="s">
        <v>27</v>
      </c>
      <c r="D10" t="s">
        <v>124</v>
      </c>
      <c r="E10" t="s">
        <v>125</v>
      </c>
    </row>
    <row r="11" spans="1:5" x14ac:dyDescent="0.25">
      <c r="A11" t="s">
        <v>126</v>
      </c>
      <c r="B11" s="16">
        <f>COSTO_MES/TRM</f>
        <v>650.6459036669225</v>
      </c>
      <c r="C11" t="s">
        <v>127</v>
      </c>
      <c r="D11" t="s">
        <v>128</v>
      </c>
      <c r="E11" t="s">
        <v>129</v>
      </c>
    </row>
    <row r="12" spans="1:5" x14ac:dyDescent="0.25">
      <c r="A12" t="s">
        <v>130</v>
      </c>
      <c r="B12" s="16">
        <f>COSTO_MES/SMMLV</f>
        <v>1.2288473178156438</v>
      </c>
      <c r="C12" t="s">
        <v>131</v>
      </c>
      <c r="D12" t="s">
        <v>132</v>
      </c>
      <c r="E12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40" customWidth="1"/>
    <col min="2" max="2" width="110" customWidth="1"/>
  </cols>
  <sheetData>
    <row r="1" spans="1:1" x14ac:dyDescent="0.25">
      <c r="A1" s="1" t="s">
        <v>134</v>
      </c>
    </row>
    <row r="2" spans="1:1" x14ac:dyDescent="0.25">
      <c r="A2" s="2" t="s">
        <v>135</v>
      </c>
    </row>
    <row r="4" ht="22" customHeight="1" spans="1:2" x14ac:dyDescent="0.25">
      <c r="A4" s="3" t="s">
        <v>136</v>
      </c>
      <c r="B4" s="3" t="s">
        <v>39</v>
      </c>
    </row>
    <row r="5" spans="1:2" x14ac:dyDescent="0.25">
      <c r="A5" s="9" t="s">
        <v>137</v>
      </c>
      <c r="B5" s="18" t="s">
        <v>138</v>
      </c>
    </row>
    <row r="6" spans="1:2" x14ac:dyDescent="0.25">
      <c r="A6" s="9" t="s">
        <v>139</v>
      </c>
      <c r="B6" s="18" t="s">
        <v>140</v>
      </c>
    </row>
    <row r="7" spans="1:2" x14ac:dyDescent="0.25">
      <c r="A7" s="9" t="s">
        <v>78</v>
      </c>
      <c r="B7" s="18" t="s">
        <v>141</v>
      </c>
    </row>
    <row r="8" spans="1:2" x14ac:dyDescent="0.25">
      <c r="A8" s="9" t="s">
        <v>79</v>
      </c>
      <c r="B8" s="18" t="s">
        <v>142</v>
      </c>
    </row>
    <row r="9" spans="1:2" x14ac:dyDescent="0.25">
      <c r="A9" s="9" t="s">
        <v>143</v>
      </c>
      <c r="B9" s="18" t="s">
        <v>144</v>
      </c>
    </row>
    <row r="10" spans="1:2" x14ac:dyDescent="0.25">
      <c r="A10" s="9" t="s">
        <v>145</v>
      </c>
      <c r="B10" s="18" t="s">
        <v>146</v>
      </c>
    </row>
    <row r="11" spans="1:2" x14ac:dyDescent="0.25">
      <c r="A11" s="9" t="s">
        <v>147</v>
      </c>
      <c r="B11" s="18" t="s">
        <v>148</v>
      </c>
    </row>
    <row r="13" spans="1:2" x14ac:dyDescent="0.25">
      <c r="A13" s="3" t="s">
        <v>2</v>
      </c>
      <c r="B13" s="3" t="s">
        <v>38</v>
      </c>
    </row>
    <row r="14" spans="1:2" x14ac:dyDescent="0.25">
      <c r="A14" t="s">
        <v>42</v>
      </c>
      <c r="B14" t="s">
        <v>149</v>
      </c>
    </row>
    <row r="15" spans="1:2" x14ac:dyDescent="0.25">
      <c r="A15" t="s">
        <v>46</v>
      </c>
      <c r="B15" t="s">
        <v>150</v>
      </c>
    </row>
    <row r="16" spans="1:2" x14ac:dyDescent="0.25">
      <c r="A16" t="s">
        <v>50</v>
      </c>
      <c r="B16" t="s">
        <v>151</v>
      </c>
    </row>
    <row r="17" spans="1:2" x14ac:dyDescent="0.25">
      <c r="A17" t="s">
        <v>54</v>
      </c>
      <c r="B17" t="s">
        <v>152</v>
      </c>
    </row>
    <row r="18" spans="1:2" x14ac:dyDescent="0.25">
      <c r="A18" t="s">
        <v>58</v>
      </c>
      <c r="B18" t="s">
        <v>153</v>
      </c>
    </row>
    <row r="19" spans="1:2" x14ac:dyDescent="0.25">
      <c r="A19" t="s">
        <v>154</v>
      </c>
      <c r="B19" t="s">
        <v>155</v>
      </c>
    </row>
    <row r="20" spans="1:2" x14ac:dyDescent="0.25">
      <c r="A20" t="s">
        <v>156</v>
      </c>
      <c r="B20" t="s">
        <v>157</v>
      </c>
    </row>
    <row r="21" spans="1:2" x14ac:dyDescent="0.25">
      <c r="A21" t="s">
        <v>158</v>
      </c>
      <c r="B21" t="s">
        <v>159</v>
      </c>
    </row>
    <row r="22" spans="1:2" x14ac:dyDescent="0.25">
      <c r="A22" t="s">
        <v>160</v>
      </c>
      <c r="B22" t="s">
        <v>161</v>
      </c>
    </row>
    <row r="23" spans="1:2" x14ac:dyDescent="0.25">
      <c r="A23" t="s">
        <v>162</v>
      </c>
      <c r="B23" t="s">
        <v>163</v>
      </c>
    </row>
    <row r="24" spans="1:2" x14ac:dyDescent="0.25">
      <c r="A24" t="s">
        <v>164</v>
      </c>
      <c r="B24" t="s">
        <v>165</v>
      </c>
    </row>
    <row r="25" spans="1:2" x14ac:dyDescent="0.25">
      <c r="A25" t="s">
        <v>166</v>
      </c>
      <c r="B25" t="s">
        <v>167</v>
      </c>
    </row>
    <row r="26" spans="1:2" x14ac:dyDescent="0.25">
      <c r="A26" t="s">
        <v>168</v>
      </c>
      <c r="B26" t="s">
        <v>169</v>
      </c>
    </row>
    <row r="27" spans="1:2" x14ac:dyDescent="0.25">
      <c r="A27" t="s">
        <v>103</v>
      </c>
      <c r="B27" t="s">
        <v>170</v>
      </c>
    </row>
    <row r="28" spans="1:2" x14ac:dyDescent="0.25">
      <c r="A28" t="s">
        <v>107</v>
      </c>
      <c r="B28" t="s">
        <v>171</v>
      </c>
    </row>
    <row r="29" spans="1:2" x14ac:dyDescent="0.25">
      <c r="A29" t="s">
        <v>111</v>
      </c>
      <c r="B29" t="s">
        <v>172</v>
      </c>
    </row>
    <row r="30" spans="1:2" x14ac:dyDescent="0.25">
      <c r="A30" t="s">
        <v>115</v>
      </c>
      <c r="B30" t="s">
        <v>173</v>
      </c>
    </row>
    <row r="31" spans="1:2" x14ac:dyDescent="0.25">
      <c r="A31" t="s">
        <v>119</v>
      </c>
      <c r="B31" t="s">
        <v>174</v>
      </c>
    </row>
    <row r="32" spans="1:2" x14ac:dyDescent="0.25">
      <c r="A32" t="s">
        <v>123</v>
      </c>
      <c r="B32" t="s">
        <v>175</v>
      </c>
    </row>
    <row r="33" spans="1:2" x14ac:dyDescent="0.25">
      <c r="A33" t="s">
        <v>126</v>
      </c>
      <c r="B33" t="s">
        <v>176</v>
      </c>
    </row>
    <row r="34" spans="1:2" x14ac:dyDescent="0.25">
      <c r="A34" t="s">
        <v>130</v>
      </c>
      <c r="B34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Calculo por periodo</vt:lpstr>
      <vt:lpstr>Relaciones</vt:lpstr>
      <vt:lpstr>Matematica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ConstruMaster</dc:creator>
  <dc:title/>
  <dc:subject/>
  <dc:description/>
  <cp:keywords/>
  <cp:category/>
  <cp:lastModifiedBy>Unknown</cp:lastModifiedBy>
  <dcterms:created xsi:type="dcterms:W3CDTF">2026-09-26T17:01:27Z</dcterms:created>
  <dcterms:modified xsi:type="dcterms:W3CDTF">2026-09-26T17:01:27Z</dcterms:modified>
</cp:coreProperties>
</file>